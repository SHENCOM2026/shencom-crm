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Usuario/Desktop/SHENCOM IA /VENTAS /"/>
    </mc:Choice>
  </mc:AlternateContent>
  <xr:revisionPtr revIDLastSave="0" documentId="8_{F9CF9741-154D-E343-A3EB-BE4AF4CCA829}" xr6:coauthVersionLast="47" xr6:coauthVersionMax="47" xr10:uidLastSave="{00000000-0000-0000-0000-000000000000}"/>
  <bookViews>
    <workbookView xWindow="0" yWindow="660" windowWidth="20740" windowHeight="11160" xr2:uid="{00000000-000D-0000-FFFF-FFFF00000000}"/>
  </bookViews>
  <sheets>
    <sheet name="INGRESO" sheetId="1" r:id="rId1"/>
    <sheet name="SP JURIDICA" sheetId="2" r:id="rId2"/>
    <sheet name="SP NATURAL" sheetId="3" r:id="rId3"/>
    <sheet name="GESTOR JUR" sheetId="4" r:id="rId4"/>
    <sheet name="GESTOR NATU" sheetId="5" r:id="rId5"/>
    <sheet name="entrega recepcion" sheetId="6" r:id="rId6"/>
    <sheet name="Detalle" sheetId="7" state="hidden" r:id="rId7"/>
    <sheet name="ANEXO B" sheetId="8"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o3fRKzUx6fQbSLWpnjeKH12s4MEKwczEP5rVGPy9aGw="/>
    </ext>
  </extLst>
</workbook>
</file>

<file path=xl/calcChain.xml><?xml version="1.0" encoding="utf-8"?>
<calcChain xmlns="http://schemas.openxmlformats.org/spreadsheetml/2006/main">
  <c r="G57" i="8" l="1"/>
  <c r="C51" i="8"/>
  <c r="C50" i="8"/>
  <c r="C49" i="8"/>
  <c r="I45" i="8"/>
  <c r="D45" i="8"/>
  <c r="B45" i="8"/>
  <c r="I44" i="8"/>
  <c r="D44" i="8"/>
  <c r="B44" i="8"/>
  <c r="I43" i="8"/>
  <c r="D43" i="8"/>
  <c r="B43" i="8"/>
  <c r="I42" i="8"/>
  <c r="D42" i="8"/>
  <c r="B42" i="8"/>
  <c r="I41" i="8"/>
  <c r="D41" i="8"/>
  <c r="B41" i="8"/>
  <c r="I40" i="8"/>
  <c r="D40" i="8"/>
  <c r="B40" i="8"/>
  <c r="I39" i="8"/>
  <c r="D39" i="8"/>
  <c r="B39" i="8"/>
  <c r="I38" i="8"/>
  <c r="D38" i="8"/>
  <c r="B38" i="8"/>
  <c r="I37" i="8"/>
  <c r="D37" i="8"/>
  <c r="B37" i="8"/>
  <c r="I36" i="8"/>
  <c r="D36" i="8"/>
  <c r="B36" i="8"/>
  <c r="I35" i="8"/>
  <c r="D35" i="8"/>
  <c r="B35" i="8"/>
  <c r="I34" i="8"/>
  <c r="D34" i="8"/>
  <c r="B34" i="8"/>
  <c r="I33" i="8"/>
  <c r="D33" i="8"/>
  <c r="B33" i="8"/>
  <c r="I32" i="8"/>
  <c r="D32" i="8"/>
  <c r="B32" i="8"/>
  <c r="I31" i="8"/>
  <c r="D31" i="8"/>
  <c r="B31" i="8"/>
  <c r="I30" i="8"/>
  <c r="D30" i="8"/>
  <c r="B30" i="8"/>
  <c r="I29" i="8"/>
  <c r="D29" i="8"/>
  <c r="B29" i="8"/>
  <c r="I28" i="8"/>
  <c r="D28" i="8"/>
  <c r="B28" i="8"/>
  <c r="I27" i="8"/>
  <c r="D27" i="8"/>
  <c r="B27" i="8"/>
  <c r="I26" i="8"/>
  <c r="D26" i="8"/>
  <c r="B26" i="8"/>
  <c r="I25" i="8"/>
  <c r="D25" i="8"/>
  <c r="B25" i="8"/>
  <c r="I24" i="8"/>
  <c r="D24" i="8"/>
  <c r="B24" i="8"/>
  <c r="I23" i="8"/>
  <c r="D23" i="8"/>
  <c r="B23" i="8"/>
  <c r="I22" i="8"/>
  <c r="D22" i="8"/>
  <c r="B22" i="8"/>
  <c r="I21" i="8"/>
  <c r="D21" i="8"/>
  <c r="B21" i="8"/>
  <c r="C12" i="8"/>
  <c r="G11" i="8"/>
  <c r="C11" i="8"/>
  <c r="C53" i="6"/>
  <c r="C52" i="6"/>
  <c r="B49" i="6"/>
  <c r="F43" i="6"/>
  <c r="E43" i="6"/>
  <c r="D43" i="6"/>
  <c r="C43" i="6"/>
  <c r="B43" i="6"/>
  <c r="F42" i="6"/>
  <c r="E42" i="6"/>
  <c r="D42" i="6"/>
  <c r="C42" i="6"/>
  <c r="B42" i="6"/>
  <c r="F41" i="6"/>
  <c r="E41" i="6"/>
  <c r="D41" i="6"/>
  <c r="C41" i="6"/>
  <c r="B41" i="6"/>
  <c r="F40" i="6"/>
  <c r="E40" i="6"/>
  <c r="D40" i="6"/>
  <c r="C40" i="6"/>
  <c r="B40" i="6"/>
  <c r="F39" i="6"/>
  <c r="E39" i="6"/>
  <c r="D39" i="6"/>
  <c r="C39" i="6"/>
  <c r="B39" i="6"/>
  <c r="F38" i="6"/>
  <c r="E38" i="6"/>
  <c r="D38" i="6"/>
  <c r="C38" i="6"/>
  <c r="B38" i="6"/>
  <c r="F37" i="6"/>
  <c r="E37" i="6"/>
  <c r="D37" i="6"/>
  <c r="C37" i="6"/>
  <c r="B37" i="6"/>
  <c r="C5" i="6"/>
  <c r="C33" i="6" s="1"/>
  <c r="C4" i="6"/>
  <c r="C32" i="6" s="1"/>
  <c r="C3" i="6"/>
  <c r="C31" i="6" s="1"/>
  <c r="G11" i="5"/>
  <c r="F11" i="5"/>
  <c r="E11" i="5"/>
  <c r="G24" i="5" s="1"/>
  <c r="B11" i="5"/>
  <c r="G23" i="5" s="1"/>
  <c r="G10" i="5"/>
  <c r="F10" i="5"/>
  <c r="E10" i="5"/>
  <c r="D24" i="5" s="1"/>
  <c r="B10" i="5"/>
  <c r="D23" i="5" s="1"/>
  <c r="G9" i="5"/>
  <c r="F9" i="5"/>
  <c r="E9" i="5"/>
  <c r="F17" i="5" s="1"/>
  <c r="G5" i="5"/>
  <c r="C5" i="5"/>
  <c r="B9" i="5" s="1"/>
  <c r="F16" i="5" s="1"/>
  <c r="G1" i="5"/>
  <c r="F21" i="4"/>
  <c r="D17" i="4"/>
  <c r="G13" i="4"/>
  <c r="F13" i="4"/>
  <c r="E13" i="4"/>
  <c r="B13" i="4"/>
  <c r="G12" i="4"/>
  <c r="F12" i="4"/>
  <c r="E12" i="4"/>
  <c r="B12" i="4"/>
  <c r="G11" i="4"/>
  <c r="F11" i="4"/>
  <c r="E11" i="4"/>
  <c r="F22" i="4" s="1"/>
  <c r="B11" i="4"/>
  <c r="F6" i="4"/>
  <c r="B6" i="4"/>
  <c r="C5" i="4"/>
  <c r="H1" i="4"/>
  <c r="V28" i="3"/>
  <c r="P28" i="3"/>
  <c r="I28" i="3"/>
  <c r="D28" i="3"/>
  <c r="V27" i="3"/>
  <c r="P27" i="3"/>
  <c r="I27" i="3"/>
  <c r="D27" i="3"/>
  <c r="V26" i="3"/>
  <c r="P26" i="3"/>
  <c r="I26" i="3"/>
  <c r="D26" i="3"/>
  <c r="V25" i="3"/>
  <c r="P25" i="3"/>
  <c r="I25" i="3"/>
  <c r="D25" i="3"/>
  <c r="V24" i="3"/>
  <c r="P24" i="3"/>
  <c r="I24" i="3"/>
  <c r="D24" i="3"/>
  <c r="K8" i="3"/>
  <c r="B66" i="3" s="1"/>
  <c r="D25" i="2"/>
  <c r="D24" i="2"/>
  <c r="E9" i="2"/>
  <c r="K8" i="2"/>
  <c r="B66" i="2" s="1"/>
  <c r="G30" i="3" l="1"/>
  <c r="G3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3" authorId="0" shapeId="0" xr:uid="{00000000-0006-0000-0000-000001000000}">
      <text>
        <r>
          <rPr>
            <sz val="11"/>
            <color rgb="FF000000"/>
            <rFont val="Calibri"/>
            <family val="2"/>
            <scheme val="minor"/>
          </rPr>
          <t>======
ID#AAABbu4oKw8
JefeDeVentas    (2025-01-29 23:33:58)
Se debe ingresar en que modalidad está la linea, previo a la portabilidad.
De acuerdo a la lista. CONSULTAR DETALLE</t>
        </r>
      </text>
    </comment>
    <comment ref="G43" authorId="0" shapeId="0" xr:uid="{00000000-0006-0000-0000-000002000000}">
      <text>
        <r>
          <rPr>
            <sz val="11"/>
            <color rgb="FF000000"/>
            <rFont val="Calibri"/>
            <family val="2"/>
            <scheme val="minor"/>
          </rPr>
          <t>======
ID#AAABbu4oKw4
JefeDeVentas    (2025-01-29 23:33:58)
1. El cliente puede elegir en cuantos meses desea pagar su equipo celular al costo del plan.
2. El campo PAYBACK se escoge solamente cuando el valor del equipo que solicita el cliente ha sido reducido a través de una payback.</t>
        </r>
      </text>
    </comment>
  </commentList>
  <extLst>
    <ext xmlns:r="http://schemas.openxmlformats.org/officeDocument/2006/relationships" uri="GoogleSheetsCustomDataVersion2">
      <go:sheetsCustomData xmlns:go="http://customooxmlschemas.google.com/" r:id="rId1" roundtripDataSignature="AMtx7mj13ng3NvYkPmNOrFElm+/NHmg49A=="/>
    </ext>
  </extLst>
</comments>
</file>

<file path=xl/sharedStrings.xml><?xml version="1.0" encoding="utf-8"?>
<sst xmlns="http://schemas.openxmlformats.org/spreadsheetml/2006/main" count="369" uniqueCount="216">
  <si>
    <t>DATOS DE NEGOCIACION</t>
  </si>
  <si>
    <t>Negociación con PAYBACK</t>
  </si>
  <si>
    <t>NO</t>
  </si>
  <si>
    <t>Tipo de Contrato</t>
  </si>
  <si>
    <t>Número de Cuenta (En caso de contrato adicional)</t>
  </si>
  <si>
    <t>Nombre de La Empresa / Titular</t>
  </si>
  <si>
    <t>RUC / CI</t>
  </si>
  <si>
    <t>Fecha de nacimiento (solo cliente CI)</t>
  </si>
  <si>
    <t>Identificación Rep Legal: (solo Juridico)</t>
  </si>
  <si>
    <t>Representante Legal (solo Juridico)</t>
  </si>
  <si>
    <t>Fecha de Vcto Nombramiento (DD/MM/AÑO)</t>
  </si>
  <si>
    <t>REFERENCIAS DOMICILIARIAS</t>
  </si>
  <si>
    <t>Ciudad:</t>
  </si>
  <si>
    <t>QUITO</t>
  </si>
  <si>
    <t>Provincia</t>
  </si>
  <si>
    <t>Cod de Area</t>
  </si>
  <si>
    <t>Telefono</t>
  </si>
  <si>
    <t>Numero celular</t>
  </si>
  <si>
    <t>Correo Electronico facturacion</t>
  </si>
  <si>
    <t>Dirección</t>
  </si>
  <si>
    <t>Forma de Pago</t>
  </si>
  <si>
    <t>BANCOS (Ingresar Nombre De La Institución)</t>
  </si>
  <si>
    <t>Tipo de cuenta</t>
  </si>
  <si>
    <t>No de cuenta</t>
  </si>
  <si>
    <t>Ced/Ruc dueño de cta</t>
  </si>
  <si>
    <t>Nombre del dueño de cuenta</t>
  </si>
  <si>
    <t>TARJETA DE CREDITO (Emisor De La T/C)</t>
  </si>
  <si>
    <t>No de Tarjeta Electronica</t>
  </si>
  <si>
    <t>Fecha de caducidad (DD/MM/AÑO)</t>
  </si>
  <si>
    <t>Cod de Seguridad</t>
  </si>
  <si>
    <t>Tipo de identificacion</t>
  </si>
  <si>
    <t>Lugar de entrega de Chips</t>
  </si>
  <si>
    <t>Direccion de entrega</t>
  </si>
  <si>
    <t>Contacto:</t>
  </si>
  <si>
    <t>GESTORES *888/*611</t>
  </si>
  <si>
    <t>NOMBRE</t>
  </si>
  <si>
    <t>CI</t>
  </si>
  <si>
    <t>CELULAR</t>
  </si>
  <si>
    <t>CORREO</t>
  </si>
  <si>
    <t>Usuario</t>
  </si>
  <si>
    <t>Números a Portarse</t>
  </si>
  <si>
    <t>Tipo de transaccion</t>
  </si>
  <si>
    <t>Tarifa</t>
  </si>
  <si>
    <t>BP (Vigente En Guía Comercial)</t>
  </si>
  <si>
    <t>Equipo</t>
  </si>
  <si>
    <t>Financiamiento</t>
  </si>
  <si>
    <t>Feature</t>
  </si>
  <si>
    <t>CODIGO FEATURE (Vigente En Guía Comercial)</t>
  </si>
  <si>
    <t>LINEA NUEVA</t>
  </si>
  <si>
    <t/>
  </si>
  <si>
    <t>FORMATO DE SOLICITUD DE PORTABILIDAD DE NÚMEROS TELEFÓNICOS MÓVILES</t>
  </si>
  <si>
    <t>NÚMERO:</t>
  </si>
  <si>
    <t>FECHA:</t>
  </si>
  <si>
    <t>HORA:</t>
  </si>
  <si>
    <t>DATOS DEL ABONADO:</t>
  </si>
  <si>
    <t>PERSONA NATURAL</t>
  </si>
  <si>
    <t>PERSONA JURÍDICA</t>
  </si>
  <si>
    <t>X</t>
  </si>
  <si>
    <t>OTROS (Organismos públicos, asociaciones, gremios)</t>
  </si>
  <si>
    <t>NOMBRE DEL ABONADO/CLIENTE/REPRESENTANTE LEGAL:</t>
  </si>
  <si>
    <t>RAZON SOCIAL:</t>
  </si>
  <si>
    <t>MODALIDAD DE CONTRATACIÓN ACTUAL:</t>
  </si>
  <si>
    <t>PREPAGO</t>
  </si>
  <si>
    <t>POSPAGO</t>
  </si>
  <si>
    <t>DATOS DEL PROVEEDOR DEL SERVICIO MÓVIL AVANZADO:</t>
  </si>
  <si>
    <t>PRESTADOR DONANTE:</t>
  </si>
  <si>
    <t>MOVISTAR</t>
  </si>
  <si>
    <t>PRESTADOR RECEPTOR:</t>
  </si>
  <si>
    <t>CLARO</t>
  </si>
  <si>
    <t>NÚMERO IDENTIFICADOR DEL PRESTADOR DONANTE (NIP):</t>
  </si>
  <si>
    <t>NÚMEROS A SER PORTADOS:</t>
  </si>
  <si>
    <t>CANTIDAD DE NÚMEROS A SER PORTADOS:</t>
  </si>
  <si>
    <t>NÚMERO DE DOCUMENTOS ANEXOS:</t>
  </si>
  <si>
    <t>NOTAS:</t>
  </si>
  <si>
    <t>1. El Abonado/cliente acepta que con la firma de la presente Solicitud de Portabilidad, manifiesta su consentimiento de terminar la relación contractual con el Prestador Donante, únicamente de los servicios de telecomunicaciones cuya prestación requiere de los números telefónicos a ser portados, a partir de la fecha efectiva en que se realice la portabilidad de los mismos. 
 2. El abonado/cliente en modalidad pospago, podrá portar su(s) número(s) telefónico(s), únicamente si ha dado cumplimitos a todas las obligaciones que haya contraído por la relación contractual con el Prestador Donante respecto de dicho(s) número(s), esto es, deberá previamente cancelar de forma obligatoria todos los valores que adeude por factura(s) generada(s) por el Prestador Donante, considerando todos los valores por concepto de la prestación del servicio móvil avanzado y/o los valores de financiamiento de equipo(s) terminal(es) adquirido(s), de dicho(s) número(s) telefónico(s), de conformidad a las obligaciones contraídas, al momento de presentar las solicitudes de portabilidad. 
 3. El Abonado/cliente reconoce que la Portabilidad del (los) número(s) solicitada está sujeta al cumplimiento de todos los requisitos establecidos en la norma técnica de portabilidad móvil. 
 4. El firmante declara que los datos consignados en la presente solicitud y, en su caso, los documentos que la acompañan son verdaderos.</t>
  </si>
  <si>
    <t>5. Cuando una solicitud de portabilidad es rechazada, por causas imputables al abonado/cliente establecidas en las Especificaciones Técnicas y Operativas de la Norma Técnica de Portabilidad Móvil, los costos y gastos derivados de su tramitación serán asumidos por éste, conforme a las políticas comerciales del prestador del servicio móvil avanzado o móvil avanzado a través de operador móvil virtual. El valor para cubrir dichos costos y gastos será como máximo el valor de una transación de portabilidad convenido entre el prestador del servicio móvil avanzado o móvil avanzado a través de operador móvil virtual y el ASCP. 
 6. Causas de rechazo de una solicitud de portabilidad:
 Prepago: a)El solicitante de la portabilidad no sea el abonado/cliente titular del o los números a ser portados. b) La solicitud de portabilidad se presentó como prepago y se encuentra suscrito bajo el esquema pospago, o viceversa. c) El o los números a ser portados se encuentren al momento de la solicitud de portabilidad en estado retirado, cancelado o dado de baja en el Prestador Donante. d) Se considera motivo de rechazo la presencia de corrección en la solicitud del Número a ser portado y cantidad de números a ser portados; así como enmendaduras y correcciones en el documento de solicitud que no permitan la legibilidad de datos. e) No se acepatrá solicitudes de portabilidad de menores de edad. f) Será motivo de rechazo que el o los números a ser portados se encuentren suspendidos por mal uso de los números de emergencia. g) No se aceptarán solicitudes de portabilidad cuando la copia o foto del documento de identidad: Cédula, pasaporte o ficha de identidad con información o datos proporcionados por el Registro Civil, no contenga la firma o sea ilegible. 
 Pospago: Además de las anteriores se consideran las siguientes causales: a) El solicitante de la portabilidad no sea el abonado/cliente titular del o los números a ser portados. B) Cuando el abonado/cliente en modalidad pospago adeude valores del o los números a ser portados en factura(s) generada(s) por el Prestador Donante, en la(s) cual(es) conste(n) el concepto de la prestación del servicio móvil avanzado y/o mantenga valores pendientes de financiamiento de equipo(s) terminal(es) adquirido(s), de conformidad a las obligaciones contraídas, al momento de la revisión de la solicitud de portabiliad realizada por el Prestador Donante. Éste requisito se verificará únicamente respecto de la(s) línea(s) o número(s) que se va(n) a portar. 
 7. A partir de la tercera portación efectiva por línea telefónica en un mismo año calendario, el Prestador Receptor podrá cobrar al abonado/cliente como máximo el valor de una transacción de portabilidad convenido entre el prestador del servicio móvil avanzado o móvil avanzado a través de operador móvil virtual y el ASCP, el mismo que se incluye en los contratos suscritos entre el ASCP y los prestadores del servicio móvil avanzado o móvil avanzado a través de operador 
 8. El cobro por el proceso de portabilidad, cuando sea aplicable es para cada número a portar. 
 9. Desistimiento de la solicitud de portabilidad por parte abonado/cliente.- Acto mediante el cual el abonado/cliente titular de un número, habiendo solicitado la portabilidad, decide finalmente dejar sin efecto dicha solicitud. La solicitud de desistimiento deberá ser presentada, ante el Prestador Receptor, hasta las 16:00 del primer día hábil contado a partir del ingreso de la solicitud de portabilidad.</t>
  </si>
  <si>
    <t>En función de lo anterior, el abonado declara que ha revisado el contenido de la información descrita en esta solicitud, y como tal, acepta los términos y condiciones expuestos en ella:</t>
  </si>
  <si>
    <t>NOMBRE DEL SUSCRIPTOR/REPRESENTANTE LEGAL</t>
  </si>
  <si>
    <t>FIRMA</t>
  </si>
  <si>
    <t>1. El Abonado/cliente acepta que con la firma de la presente Solicitud de Portabilidad, manifiesta su consentimiento de terminar la relación contractual con el Prestador Donante, únicamente de los servicios de telecomunicaciones cuya prestación requiere de los números telefónicos a ser portados, a partir de la fecha efectiva en que se realice la portabilidad de los mismos.
 2. El abonado/cliente en modalidad pospago, podrá portar su(s) número(s) telefónico(s), únicamente si ha dado cumplimitos a todas las obligaciones que haya contraído por la relación contractual con el Prestador Donante respecto de dicho(s) número(s), esto es, deberá previamente cancelar de forma obligatoria todos los valores que adeude por factura(s) generada(s) por el Prestador Donante, considerando todos los valores por concepto de la prestación del servicio móvil avanzado y/o los valores de financiamiento de equipo(s) terminal(es) adquirido(s), de dicho(s) número(s) telefónico(s), de conformidad a las obligaciones contraídas, al momento de presentar las solicitudes de portabilidad.
 3. El Abonado/cliente reconoce que la Portabilidad del (los) número(s) solicitada está sujeta al cumplimiento de todos los requisitos establecidos en la norma técnica de portabilidad móvil.
 4. El firmante declara que los datos consignados en la presente solicitud y, en su caso, los documentos que la acompañan son verdaderos.</t>
  </si>
  <si>
    <t>5. Cuando una solicitud de portabilidad es rechazada, por causas imputables al abonado/cliente establecidas en las Especificaciones Técnicas y Operativas de la Norma Técnica de Portabilidad Móvil, los costos y gastos derivados de su tramitación serán asumidos por éste, conforme a las políticas comerciales del prestador del servicio móvil avanzado o móvil avanzado a través de operador móvil virtual. El valor para cubrir dichos costos y gastos será como máximo el valor de una transación de portabilidad convenido entre el prestador del servicio móvil avanzado o móvil avanzado a través de operador móvil virtual y el ASCP.
 6. Causas de rechazo de una solicitud de portabilidad:
 Prepago: a)El solicitante de la portabilidad no sea el abonado/cliente titular del o los números a ser portados. b) La solicitud de portabilidad se presentó como prepago y se encuentra suscrito bajo el esquema pospago, o viceversa. c) El o los números a ser portados se encuentren al momento de la solicitud de portabilidad en estado retirado, cancelado o dado de baja en el Prestador Donante. d) Se considera motivo de rechazo la presencia de corrección en la solicitud del Número a ser portado y cantidad de números a ser portados; así como enmendaduras y correcciones en el documento de solicitud que no permitan la legibilidad de datos. e) No se acepatrá solicitudes de portabilidad de menores de edad. f) Será motivo de rechazo que el o los números a ser portados se encuentren suspendidos por mal uso de los números de emergencia. g) No se aceptarán solicitudes de portabilidad cuando la copia o foto del documento de identidad: Cédula, pasaporte o ficha de identidad con información o datos proporcionados por el Registro Civil, no contenga la firma o sea ilegible.
 Pospago: Además de las anteriores se consideran las siguientes causales: a) El solicitante de la portabilidad no sea el abonado/cliente titular del o los números a ser portados. B) Cuando el abonado/cliente en modalidad pospago adeude valores del o los números a ser portados en factura(s) generada(s) por el Prestador Donante, en la(s) cual(es) conste(n) el concepto de la prestación del servicio móvil avanzado y/o mantenga valores pendientes de financiamiento de equipo(s) terminal(es) adquirido(s), de conformidad a las obligaciones contraídas, al momento de la revisión de la solicitud de portabiliad realizada por el Prestador Donante. Éste requisito se verificará únicamente respecto de la(s) línea(s) o número(s) que se va(n) a portar.
 7. A partir de la tercera portación efectiva por línea telefónica en un mismo año calendario, el Prestador Receptor podrá cobrar al abonado/cliente como máximo el valor de una transacción de portabilidad convenido entre el prestador del servicio móvil avanzado o móvil avanzado a través de operador móvil virtual y el ASCP, el mismo que se incluye en los contratos suscritos entre el ASCP y los prestadores del servicio móvil avanzado o móvil avanzado a través de operador
 8. El cobro por el proceso de portabilidad, cuando sea aplicable es para cada número a portar.
 9. Desistimiento de la solicitud de portabilidad por parte abonado/cliente.- Acto mediante el cual el abonado/cliente titular de un número, habiendo solicitado la portabilidad, decide finalmente dejar sin efecto dicha solicitud. La solicitud de desistimiento deberá ser presentada, ante el Prestador Receptor, hasta las 16:00 del primer día hábil contado a partir del ingreso de la solicitud de portabilidad.</t>
  </si>
  <si>
    <t xml:space="preserve">Quito, </t>
  </si>
  <si>
    <r>
      <rPr>
        <sz val="11"/>
        <color theme="1"/>
        <rFont val="Calibri"/>
        <family val="2"/>
      </rPr>
      <t xml:space="preserve">Señores 
</t>
    </r>
    <r>
      <rPr>
        <b/>
        <sz val="11"/>
        <color theme="1"/>
        <rFont val="Calibri"/>
        <family val="2"/>
      </rPr>
      <t>CONSORCIO ECUATORIANO DE TELECOMUNICACIONES S.A. CONECEL</t>
    </r>
    <r>
      <rPr>
        <sz val="11"/>
        <color theme="1"/>
        <rFont val="Calibri"/>
        <family val="2"/>
      </rPr>
      <t xml:space="preserve">
Quito.-
De mis consideraciones:
</t>
    </r>
  </si>
  <si>
    <t>Yo,</t>
  </si>
  <si>
    <t xml:space="preserve">en calidad de </t>
  </si>
  <si>
    <t>representante legal, de la compañía</t>
  </si>
  <si>
    <t xml:space="preserve">, con RUC No. </t>
  </si>
  <si>
    <t xml:space="preserve">, tengo a bien indicarles que </t>
  </si>
  <si>
    <t xml:space="preserve">además del número telefónico </t>
  </si>
  <si>
    <t>y correo electrónico</t>
  </si>
  <si>
    <t>gerencia.irtelc@gmail.com</t>
  </si>
  <si>
    <t xml:space="preserve">que me pertenece, autorizo al/los señor/es: </t>
  </si>
  <si>
    <t>FAMILIA PRODUCTO*</t>
  </si>
  <si>
    <t>Todas</t>
  </si>
  <si>
    <t xml:space="preserve">*Familia Producto. Para aquellos administradores que requieran tener exclusividad en la administración de alguna Familia de producto, indicar dicha familia en esta columna. 
Representación de Familias: Analítica, Cloud, IOT, Datacenter, Internet, Datos, Voz, Servicio Móvil, Seguridad, Servicios IT y Televisión; caso contrario se debe mantener en Familia Producto “Todas”.
</t>
  </si>
  <si>
    <t xml:space="preserve">Quien/es mediante este documento queda/n designado/s como ADMINISTRADOR/ES de la/s cuenta/s, para que en nombre y representación de mí representada, proceda a realizar las transacciones y/o gestiones por medio de correo electrónico o por medio del Asesor Empresarial y/o Ejecutivo designado para la/s cuenta/s de mí representada, conforme a los siguientes términos:
Las gestiones y/o transacciones que realizarán son las siguientes: 
•        Activación/Reactivación y desactivación de servicios.
•        Activación de esquemas adicionales.
•        Actualización de información de la cuenta.
•        Autoservicio.
•        Consulta de servicios.
•        Cambio de características del plan/línea.
•        Adendum y Renovaciones.
•        Recepción y Gestión de Novedades.
•        Solicitudes de Bloqueos/Desbloqueos. 
•        Suspensión/Reactivación por robo.
•        Reporterías definidas.
•        Modificación Umbrales y Límites de consumo.
•        Gestión de solicitudes de portabilidad.
Adicionalmente, declaro que se carguen en la factura inmediata siguiente, los valores adicionales y/o equipos incluidos SIMCARDS.  A su vez que cualquiera de el/los contacto/s autorizado/s vía correo electrónico puedan recibir equipos ACEPTO
En virtud de lo anterior, expresamente manifiesto que el requerimiento y/o aceptación conferida por el/los Administrador/es de la Cuenta vía correo electrónico, cuenta con mi aceptación y ratificación en forma expresa, con pleno conocimiento de todas las condiciones contractuales que implican los servicios contratados a CONECEL por mi representada; de esta forma, no será necesario ninguna autorización adicional y únicamente bastará el correo electrónico de el/los Administrador/es de la Cuenta registrado/s requiriendo y aceptando la gestión y/o transacción correspondiente. 
</t>
  </si>
  <si>
    <t xml:space="preserve">Los requerimientos llevan implícita la obligación de mi representada de pagar el valor correspondiente por el(los) servicio/s, hasta cubrir el costo total del (los) mismo(s) a la forma de pago acordado y plazos determinados con CONECEL. 
Queda estipulada la obligación que tengo de notificar a CONECEL sobre los cambios de administradores que realice vía correo electrónico, así como también remitir la correspondiente carta de autorización escrita a los nuevos ADMINISTRADORES, en caso que no lo llegase a realizar CONECEL no será responsable por los requerimientos que realice el/los administradores anteriormente autorizado/s.
En virtud de lo expuesto, declaro asumir enteramente la responsabilidad por el uso que dé/n el/los Administrador/es las claves, así como también respecto de las acciones, solicitudes vía correo electrónico y/o transacciones que ejecute por medio de los canales de venta de CONECEL, para lo cual doy por ratificadas dichas gestiones y/o transacciones y me obligo a cumplirlas en su totalidad sin ningún tipo de limitación en tal sentido; incluso, en aquellos casos en los que el Contacto de la Cuenta se extralimitare en sus funciones, asumiendo personalmente las consecuencias que se puedan generar de dicha situación.
Finalmente, mientras dure el contrato de prestación de servicio, autorizo a CONECEL para que me comunique las ofertas y publicidades de los productos y servicios comercializados, así como también procesa a acceder y usar información referente a consumo de mis cuentas de servicio, ya sea en forma directa o por medio de sus proveedores. 
</t>
  </si>
  <si>
    <t xml:space="preserve">Así también, </t>
  </si>
  <si>
    <t xml:space="preserve">declara contar con una </t>
  </si>
  <si>
    <r>
      <rPr>
        <sz val="11"/>
        <color theme="1"/>
        <rFont val="Calibri"/>
        <family val="2"/>
      </rPr>
      <t>base de legitimación para tratar los datos personales de los titulares, en el ejercicio de sus funciones para reportarlos como administradores de las cuentas de los servicios contratados con CLARO, y garantiza la veracidad de la información, para su posterior registro y uso por parte de CONECEL en la prestación de servicios postventa.
Atentamente,</t>
    </r>
    <r>
      <rPr>
        <b/>
        <sz val="11"/>
        <color theme="1"/>
        <rFont val="Calibri"/>
        <family val="2"/>
      </rPr>
      <t xml:space="preserve">
</t>
    </r>
  </si>
  <si>
    <t>Por CLIENTE.</t>
  </si>
  <si>
    <t>NOMBRE:</t>
  </si>
  <si>
    <t>CED/RUC:</t>
  </si>
  <si>
    <r>
      <rPr>
        <sz val="11"/>
        <color theme="1"/>
        <rFont val="Calibri"/>
        <family val="2"/>
      </rPr>
      <t xml:space="preserve">Señores 
</t>
    </r>
    <r>
      <rPr>
        <b/>
        <sz val="11"/>
        <color theme="1"/>
        <rFont val="Calibri"/>
        <family val="2"/>
      </rPr>
      <t>CONSORCIO ECUATORIANO DE TELECOMUNICACIONES S.A. CONECEL</t>
    </r>
    <r>
      <rPr>
        <sz val="11"/>
        <color theme="1"/>
        <rFont val="Calibri"/>
        <family val="2"/>
      </rPr>
      <t xml:space="preserve">
Quito.-
De mis consideraciones:
</t>
    </r>
  </si>
  <si>
    <t xml:space="preserve">,portador de la cédula de ciudadanía/Pasaporte No. </t>
  </si>
  <si>
    <t xml:space="preserve"> , autorizo al/los señor/es: </t>
  </si>
  <si>
    <t xml:space="preserve">Quien/es mediante este documento queda/n designado/s como ADMINISTRADOR/ES de mi cuenta, para que en mi nombre y representación, procedan a realizar las transacciones y/o gestiones por medio de correo electrónico o por medio del Asesor Empresarial y/o Ejecutivo designado para la cuenta cuya titularidad me pertenece, conforme a los siguientes términos:
Las gestiones y/o transacciones que realizarán son las siguientes: 
•	Activación/Reactivación y desactivación de servicios.
•	Activación de esquemas adicionales.
•	Actualización de información de la cuenta.
•	Autoservicio.
•	Consulta de servicios.
•	Cambio de características del plan/línea.
•	Adendum y Renovaciones.
•	Recepción y Gestión de Novedades.
•	Solicitudes de Bloqueos/Desbloqueos. 
•	Suspensión/Reactivación por robo.
•	Reporterías definidas.
•	Modificación Umbrales y Límites de consumo.
•	Gestión de solicitudes de portabilidad.
Adicionalmente, declaro que se carguen en la factura inmediata siguiente, los valores adicionales y/o equipos incluidos SIMCARDS.  A su vez que cualquiera de el/los contacto/s autorizado/s vía correo electrónico puedan recibir equipos  ACEPTO
En virtud de lo anterior, expresamente manifiesto que el requerimiento y/o aceptación conferida por el/los Administrador/es de mi Cuenta vía correo electrónico, cuenta con mi aceptación y ratificación en forma expresa, con pleno conocimiento de todas las condiciones contractuales que implican los servicios contratados a CONECEL por mi representada; de esta forma, no será necesario ninguna autorización adicional y únicamente bastará el correo electrónico de el/los Administrador/es de mi Cuenta registrado/s requiriendo y aceptando la gestión y/o transacción correspondiente. 
</t>
  </si>
  <si>
    <t xml:space="preserve">Los requerimientos de el/los Administrador/es de mi Cuenta llevan implícita mi obligación de pagar el valor correspondiente por el(los) servicio/s, hasta cubrir el costo total del (los) mismo(s) a la forma de pago acordado y plazos determinados con CONECEL. 
Queda estipulada la obligación que tengo de notificar vía correo electrónico a CONECEL sobre los cambios de el/los administrador/es que realice, así como también la suscripción de la correspondiente carta de AUTORIZACION de el/los ADMINISTRADORES, en caso que no lo llegase a realizar CONECEL no será responsable por los requerimientos que realice el/los administradores anteriormente autorizado/s.
En virtud de lo expuesto, declaro asumir enteramente la responsabilidad por el uso que dé/n el/los Administrador/es a las claves, así como también respecto de las acciones, solicitudes vía correo electrónico y/o transacciones que ejecute por medio de los canales de venta de Conecel, para lo cual doy por ratificadas dichas gestiones y/o transacciones y me obligo a cumplirlas en su totalidad sin ningún tipo de limitación en tal sentido; incluso, en aquellos casos en los que el/los administrador/es de mi Cuenta se extralimitare/n en sus funciones, asumiendo personalmente las consecuencias que se puedan generar de dicha situación.
Finalmente, mientras dure el contrato de prestación del servicio de Conecel, autorizo a ésta última para que me comunique las ofertas y publicidades de los productos y servicios que comercialice, así como también procesa a acceder y usar información referente a consumo de mis cuentas de servicio, ya sea en forma directa o por medio de sus proveedores, con la finalidad de ofrecerme nuevas opciones de servicios.
Atentamente,
</t>
  </si>
  <si>
    <t>CONTACTO DE LA CUENTA</t>
  </si>
  <si>
    <t>Acta de entrega de SIMCARDS</t>
  </si>
  <si>
    <t>LINEA NUEVA Y PORTABILIDAD</t>
  </si>
  <si>
    <t>CLIENTE</t>
  </si>
  <si>
    <t>CI/RUC</t>
  </si>
  <si>
    <t>FECHA ACTA</t>
  </si>
  <si>
    <t>DETALLE</t>
  </si>
  <si>
    <t>ICC</t>
  </si>
  <si>
    <t>NÚMERO</t>
  </si>
  <si>
    <t>PLAN</t>
  </si>
  <si>
    <t>TARIFA</t>
  </si>
  <si>
    <t>FECHA DE ACTIVACION</t>
  </si>
  <si>
    <t>895930100111477706</t>
  </si>
  <si>
    <t>PENDIENTE</t>
  </si>
  <si>
    <t>SIN LIMITE 10</t>
  </si>
  <si>
    <t>$10.00</t>
  </si>
  <si>
    <t>895930100111477707</t>
  </si>
  <si>
    <t>895930100111477705</t>
  </si>
  <si>
    <t>895930100111477671</t>
  </si>
  <si>
    <t>895930100111477678</t>
  </si>
  <si>
    <t>895930100111477714</t>
  </si>
  <si>
    <t>895930100111445438</t>
  </si>
  <si>
    <t>SIN LIMITE 15</t>
  </si>
  <si>
    <t>$15.00</t>
  </si>
  <si>
    <t>• Por medio del presente Acta se deja constancia de la recepción de todos los simcards detallados, la custodia y total responsabilidad sobre los mismos de la persona que firma este documento.</t>
  </si>
  <si>
    <t>• Para realizar consultas, solicitudes o reclamos lo puede efectuar por medio de su asesor (a) comercial.</t>
  </si>
  <si>
    <t>GABRIEL GUZMAN</t>
  </si>
  <si>
    <t>FIRMA CLIENTE</t>
  </si>
  <si>
    <t>TELF. CONTACTO</t>
  </si>
  <si>
    <t>PERSONA QUE RECIBE</t>
  </si>
  <si>
    <t>CÉDULA IDENTIDAD</t>
  </si>
  <si>
    <t>ASIGANCION</t>
  </si>
  <si>
    <t>En este caso se deja la celda correspondiente al número celular en blanco, y se marca esta opción en estado</t>
  </si>
  <si>
    <t>PPA MOVI</t>
  </si>
  <si>
    <t>Aplica cuando la linea a portar se encuentra en prepago, recordar que en este caso se requiere un formato de solicitud de portabilidad por cada linea prepago</t>
  </si>
  <si>
    <t>POS MOVI</t>
  </si>
  <si>
    <t>Aplica cuando la linea a portar se encuentra bajo el mismo nombre del solicitante.</t>
  </si>
  <si>
    <t>CES. MOVI IND</t>
  </si>
  <si>
    <t>Aplica cuando la linea pertenece a un tercero que desea inluirse en la cuenta. Se requiere, CI, RUC, CESION DE DERECHOS, ULTIMA FACTURA, SP, DAS</t>
  </si>
  <si>
    <t>CES. MOVI EMP</t>
  </si>
  <si>
    <t>Aplica cuando la misma empresa migra lineas de una cuenta activa a una nueva u otra bajo su RUC. Se requiere CI, NOMBRAMIENTO, RUC. CESION DE DERECHOS, SP, DAS</t>
  </si>
  <si>
    <t>CES. MOVI OTRA EMP</t>
  </si>
  <si>
    <t>Aplica cuando una linea bajo la titularidad de otra empresa desea unirse al plan corportaivo del solicitante. Se requiere CI, NOMBRAMIENTO, RUC, CONSTITUCION Y REFORMAS, ULTIMA FACTURA, CESION DE DERECHOS, SP, DAS</t>
  </si>
  <si>
    <t>PPA CNT</t>
  </si>
  <si>
    <t>POS CNT</t>
  </si>
  <si>
    <t>CES. CNT IND</t>
  </si>
  <si>
    <t>CES. CNT EMP</t>
  </si>
  <si>
    <t>CES. CNT OTRA EMP</t>
  </si>
  <si>
    <t>RENOVACION</t>
  </si>
  <si>
    <t>Aplica cuando el cliente posee lineas a su nombre con el misma identificacion de contratación y desea realizar cambios de plan y renovación de equipos</t>
  </si>
  <si>
    <t>PPA CLARO</t>
  </si>
  <si>
    <t>Aplica cuando la linea por activarse se encuentra en prepago. Se requiere CONTRATO, FE</t>
  </si>
  <si>
    <t>CES. CLARO IND</t>
  </si>
  <si>
    <t>Aplica cuando la linea de un tercero desea unirse a un nuevo u otro codigo del solicitante, ya activo en CLARO. Se requiere REQ SERVICIOS, CARTA DE CESION DE DERECHOS, CARTA DEL CLIENTE</t>
  </si>
  <si>
    <t>CES. CLARO EMP</t>
  </si>
  <si>
    <t>Aplica cuando una misma empresa desea migrar a un nuevo código, u código ya activo en CLARO. Se requiere REQ SERVICIOS, CARTA DE CESION DE DERECHOS.</t>
  </si>
  <si>
    <t>CES. CLARO OTRA EMP</t>
  </si>
  <si>
    <t>Aplica cuando una linea bajo la titularidad de otra empresa desea unirse al plan corportaivo del solicitante. REQ SERVICIOS, CARTA DE CESION DE DERECHOS.</t>
  </si>
  <si>
    <t>Ahora el cliente puede financiar el valor total del equipo por lo tanto es necesario especificar el tiempo que escoge el cliente, adicional está opción exime al cliente de firmar una FC, y se llena este campo siempre y cuando no se solicite payback, los equipos que estén con descuento y financiamiento en el payback si requeriran de FC. El tiempo es sin intereses.</t>
  </si>
  <si>
    <t>PAYBACK</t>
  </si>
  <si>
    <t>NOMBRE DEL DA:</t>
  </si>
  <si>
    <t>INVERINT</t>
  </si>
  <si>
    <t>CÓDIGO DEL DA:</t>
  </si>
  <si>
    <t>ANEXO “B” AL CONTRATO DE PRESTACIÓN DE SERVICIO MÓVIL AVANZADO Y SERVICIO TELEFÓNICO DE LARGA DISTANCIA INTERNACIONAL.</t>
  </si>
  <si>
    <t>PRIMERA: COMPARECIENTES.- Comparecen a la suscripción del presente Anexo B al contrato de prestación del</t>
  </si>
  <si>
    <t>servicio móvil avanzado y servicio telefónico de larga distancia internacional, en adelante el CONTRATO, por una</t>
  </si>
  <si>
    <t>parte la compañía:</t>
  </si>
  <si>
    <t>con RUC:</t>
  </si>
  <si>
    <t>,cuenta BSCS :</t>
  </si>
  <si>
    <t>EL CLIENTE y por la compañía CONSORCIO ECUATORIANO DE TELECOMUNICACIONES S.A. CONECEL,</t>
  </si>
  <si>
    <t>parte a la que para efectos del presente Anexo B será denominada como CONECEL.</t>
  </si>
  <si>
    <t>SEGUNDA: EL CLIENTE por medio del presente ANEXO B declara expresamente que ratifica los términos y</t>
  </si>
  <si>
    <t>condiciones del CONTRATO suscrito con CONECEL; y, que es su intención renovar</t>
  </si>
  <si>
    <t>adicionar</t>
  </si>
  <si>
    <t>las siguientes líneas al plan contratado:</t>
  </si>
  <si>
    <t>N°</t>
  </si>
  <si>
    <t>LINEA</t>
  </si>
  <si>
    <t>EQUIPO</t>
  </si>
  <si>
    <t>IMEI</t>
  </si>
  <si>
    <t>TARIFA BÁSICA</t>
  </si>
  <si>
    <t>BP VIGENTE</t>
  </si>
  <si>
    <t>SERVICIO ADICIONAL</t>
  </si>
  <si>
    <t>AUT/TAR</t>
  </si>
  <si>
    <t>TERCERA: DATOS DEL CONTACTO: Los equipos deberán ser entregados al contacto cuyos datos continuación indico:</t>
  </si>
  <si>
    <t>- NOMBRE:</t>
  </si>
  <si>
    <t>- TELÉFONO:</t>
  </si>
  <si>
    <t>- DIRECCIÓN:</t>
  </si>
  <si>
    <t>CUARTA: DECLARACIÓN: El CLIENTE expresamente declara conocer y aceptar expresamente que los equipos pasarán</t>
  </si>
  <si>
    <t>a su propiedad una vez transcurridos</t>
  </si>
  <si>
    <t>suscripción del CONTRATO. Si el CLIENTE decidiera terminar</t>
  </si>
  <si>
    <t>el contrato antes del plazo pactado, CONECEL realizará una amortización de los equipos e indicará a EL CLIENTE el</t>
  </si>
  <si>
    <t>valor a pagar por cada uno de ellos.</t>
  </si>
  <si>
    <t>Para constancia las partes suscriben este anexo por duplicado, en la ciudad de</t>
  </si>
  <si>
    <t>,  hoy</t>
  </si>
  <si>
    <t>Por Consorcio Ecuatoriano de Telecomunicaciones S.A.</t>
  </si>
  <si>
    <t>Por EL CLIENTE</t>
  </si>
  <si>
    <t>NUEVO</t>
  </si>
  <si>
    <t>AHORROS</t>
  </si>
  <si>
    <t xml:space="preserve">Banco del Pichincha </t>
  </si>
  <si>
    <t>Quito</t>
  </si>
  <si>
    <t>Pichincha</t>
  </si>
  <si>
    <t>Ismael Jahir Cruz Topanda</t>
  </si>
  <si>
    <t>1725057648</t>
  </si>
  <si>
    <t>22/01/2003</t>
  </si>
  <si>
    <t>Línea Nueva</t>
  </si>
  <si>
    <t>cruz.t.isma13@gamail.com</t>
  </si>
  <si>
    <t>Cliente solicita retirar hoy mismo su chip en la agencia, centro comercial aeropuerto.</t>
  </si>
  <si>
    <t>100151950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</si>
</sst>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000"/>
    <numFmt numFmtId="165" formatCode="&quot;$&quot;#,##0.00"/>
    <numFmt numFmtId="166" formatCode="d&quot; de &quot;mmmm&quot; de &quot;yyyy"/>
    <numFmt numFmtId="167" formatCode="dd&quot; de &quot;mmmm&quot; de &quot;yyyy"/>
    <numFmt numFmtId="168" formatCode="dd/mm/yyyy"/>
    <numFmt numFmtId="169" formatCode="_-[$$-300A]\ * #,##0.00_ ;_-[$$-300A]\ * \-#,##0.00\ ;_-[$$-300A]\ * &quot;-&quot;??_ ;_-@_ "/>
  </numFmts>
  <fonts count="35" x14ac:knownFonts="1">
    <font>
      <sz val="11"/>
      <color rgb="FF000000"/>
      <name val="Calibri"/>
      <scheme val="minor"/>
    </font>
    <font>
      <sz val="10"/>
      <color rgb="FF000000"/>
      <name val="Arial"/>
      <family val="2"/>
    </font>
    <font>
      <sz val="10"/>
      <color theme="1"/>
      <name val="Arial"/>
      <family val="2"/>
    </font>
    <font>
      <b/>
      <sz val="10"/>
      <color rgb="FFFFFFFF"/>
      <name val="Arial"/>
      <family val="2"/>
    </font>
    <font>
      <sz val="11"/>
      <name val="Calibri"/>
      <family val="2"/>
    </font>
    <font>
      <b/>
      <sz val="10"/>
      <color theme="1"/>
      <name val="Arial"/>
      <family val="2"/>
    </font>
    <font>
      <sz val="11"/>
      <color theme="1"/>
      <name val="Arial"/>
      <family val="2"/>
    </font>
    <font>
      <sz val="10"/>
      <color rgb="FFFFFFFF"/>
      <name val="Arial"/>
      <family val="2"/>
    </font>
    <font>
      <sz val="11"/>
      <color rgb="FF000000"/>
      <name val="Arial"/>
      <family val="2"/>
    </font>
    <font>
      <sz val="11"/>
      <color rgb="FF000000"/>
      <name val="Calibri"/>
      <family val="2"/>
    </font>
    <font>
      <u/>
      <sz val="10"/>
      <color rgb="FF0563C1"/>
      <name val="Arial"/>
      <family val="2"/>
    </font>
    <font>
      <b/>
      <sz val="11"/>
      <color theme="1"/>
      <name val="Arial"/>
      <family val="2"/>
    </font>
    <font>
      <sz val="11"/>
      <color theme="1"/>
      <name val="Calibri"/>
      <family val="2"/>
    </font>
    <font>
      <sz val="8"/>
      <color rgb="FF000000"/>
      <name val="Arial"/>
      <family val="2"/>
    </font>
    <font>
      <sz val="9"/>
      <color rgb="FF000000"/>
      <name val="Arial"/>
      <family val="2"/>
    </font>
    <font>
      <b/>
      <sz val="11"/>
      <color theme="1"/>
      <name val="Calibri"/>
      <family val="2"/>
    </font>
    <font>
      <sz val="12"/>
      <color theme="1"/>
      <name val="Calibri"/>
      <family val="2"/>
    </font>
    <font>
      <sz val="13"/>
      <color rgb="FF000000"/>
      <name val="Arial"/>
      <family val="2"/>
    </font>
    <font>
      <sz val="7"/>
      <color rgb="FF000000"/>
      <name val="Arial"/>
      <family val="2"/>
    </font>
    <font>
      <sz val="10"/>
      <color theme="1"/>
      <name val="Calibri"/>
      <family val="2"/>
    </font>
    <font>
      <b/>
      <sz val="11"/>
      <color theme="0"/>
      <name val="Calibri"/>
      <family val="2"/>
    </font>
    <font>
      <b/>
      <sz val="11"/>
      <color rgb="FFFFFFFF"/>
      <name val="Calibri"/>
      <family val="2"/>
    </font>
    <font>
      <i/>
      <sz val="11"/>
      <color rgb="FF666666"/>
      <name val="Calibri"/>
      <family val="2"/>
    </font>
    <font>
      <b/>
      <sz val="11"/>
      <color theme="1"/>
      <name val="Cambria"/>
      <family val="1"/>
    </font>
    <font>
      <sz val="11"/>
      <color theme="1"/>
      <name val="Cambria"/>
      <family val="1"/>
    </font>
    <font>
      <b/>
      <sz val="25"/>
      <color theme="1"/>
      <name val="Calibri"/>
      <family val="2"/>
    </font>
    <font>
      <b/>
      <sz val="14"/>
      <color theme="1"/>
      <name val="Calibri"/>
      <family val="2"/>
    </font>
    <font>
      <sz val="11"/>
      <color rgb="FFFFFFFF"/>
      <name val="Calibri"/>
      <family val="2"/>
    </font>
    <font>
      <i/>
      <sz val="11"/>
      <color rgb="FF000000"/>
      <name val="Calibri"/>
      <family val="2"/>
    </font>
    <font>
      <b/>
      <sz val="11"/>
      <color rgb="FF000000"/>
      <name val="Arial"/>
      <family val="2"/>
    </font>
    <font>
      <sz val="11"/>
      <color theme="1"/>
      <name val="Calibri"/>
      <family val="2"/>
    </font>
    <font>
      <sz val="11"/>
      <color theme="1"/>
      <name val="Arial"/>
      <family val="2"/>
    </font>
    <font>
      <sz val="11"/>
      <name val="Calibri"/>
      <family val="2"/>
    </font>
    <font>
      <u/>
      <sz val="11"/>
      <color theme="10"/>
      <name val="Calibri"/>
      <family val="2"/>
      <scheme val="minor"/>
    </font>
    <font>
      <sz val="11"/>
      <color rgb="FF000000"/>
      <name val="Calibri"/>
      <family val="2"/>
      <scheme val="minor"/>
    </font>
  </fonts>
  <fills count="15">
    <fill>
      <patternFill patternType="none"/>
    </fill>
    <fill>
      <patternFill patternType="gray125"/>
    </fill>
    <fill>
      <patternFill patternType="solid">
        <fgColor rgb="FF595959"/>
        <bgColor rgb="FF595959"/>
      </patternFill>
    </fill>
    <fill>
      <patternFill patternType="solid">
        <fgColor rgb="FFFFFFFF"/>
        <bgColor rgb="FFFFFFFF"/>
      </patternFill>
    </fill>
    <fill>
      <patternFill patternType="solid">
        <fgColor rgb="FFFF5050"/>
        <bgColor rgb="FFFF5050"/>
      </patternFill>
    </fill>
    <fill>
      <patternFill patternType="solid">
        <fgColor rgb="FFFBE4D5"/>
        <bgColor rgb="FFFBE4D5"/>
      </patternFill>
    </fill>
    <fill>
      <patternFill patternType="solid">
        <fgColor rgb="FFF3F3F3"/>
        <bgColor rgb="FFF3F3F3"/>
      </patternFill>
    </fill>
    <fill>
      <patternFill patternType="solid">
        <fgColor rgb="FFE9EEF6"/>
        <bgColor rgb="FFE9EEF6"/>
      </patternFill>
    </fill>
    <fill>
      <patternFill patternType="solid">
        <fgColor rgb="FFFFF2CC"/>
        <bgColor rgb="FFFFF2CC"/>
      </patternFill>
    </fill>
    <fill>
      <patternFill patternType="solid">
        <fgColor rgb="FFFF0000"/>
        <bgColor rgb="FFFF0000"/>
      </patternFill>
    </fill>
    <fill>
      <patternFill patternType="solid">
        <fgColor rgb="FF000000"/>
        <bgColor rgb="FF000000"/>
      </patternFill>
    </fill>
    <fill>
      <patternFill patternType="solid">
        <fgColor rgb="FFFEF2CB"/>
        <bgColor rgb="FFFEF2CB"/>
      </patternFill>
    </fill>
    <fill>
      <patternFill patternType="solid">
        <fgColor rgb="FFE2EFD9"/>
        <bgColor rgb="FFE2EFD9"/>
      </patternFill>
    </fill>
    <fill>
      <patternFill patternType="solid">
        <fgColor rgb="FFDEEAF6"/>
        <bgColor rgb="FFDEEAF6"/>
      </patternFill>
    </fill>
    <fill>
      <patternFill patternType="solid">
        <fgColor theme="0"/>
        <bgColor rgb="FFFFFF00"/>
      </patternFill>
    </fill>
  </fills>
  <borders count="4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style="thin">
        <color rgb="FF000000"/>
      </right>
      <top/>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33" fillId="0" borderId="0" applyNumberFormat="0" applyFill="0" applyBorder="0" applyAlignment="0" applyProtection="0"/>
  </cellStyleXfs>
  <cellXfs count="228">
    <xf numFmtId="0" fontId="0" fillId="0" borderId="0" xfId="0"/>
    <xf numFmtId="0" fontId="1" fillId="0" borderId="0" xfId="0" applyFont="1"/>
    <xf numFmtId="0" fontId="2" fillId="0" borderId="0" xfId="0" applyFont="1"/>
    <xf numFmtId="0" fontId="5" fillId="0" borderId="3" xfId="0" applyFont="1" applyBorder="1"/>
    <xf numFmtId="0" fontId="5" fillId="0" borderId="3" xfId="0" applyFont="1" applyBorder="1" applyAlignment="1">
      <alignment horizontal="left" vertical="center"/>
    </xf>
    <xf numFmtId="0" fontId="2"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9" fillId="0" borderId="0" xfId="0" applyFont="1"/>
    <xf numFmtId="0" fontId="3" fillId="4" borderId="3" xfId="0" applyFont="1" applyFill="1" applyBorder="1"/>
    <xf numFmtId="0" fontId="5" fillId="5" borderId="3" xfId="0" applyFont="1" applyFill="1" applyBorder="1"/>
    <xf numFmtId="49" fontId="10" fillId="0" borderId="0" xfId="0" applyNumberFormat="1" applyFont="1" applyAlignment="1">
      <alignment horizontal="center"/>
    </xf>
    <xf numFmtId="0" fontId="5" fillId="0" borderId="1" xfId="0" applyFont="1" applyBorder="1" applyAlignment="1">
      <alignment horizontal="left" vertical="center"/>
    </xf>
    <xf numFmtId="0" fontId="11" fillId="6" borderId="3" xfId="0" applyFont="1" applyFill="1" applyBorder="1" applyAlignment="1">
      <alignment horizontal="center"/>
    </xf>
    <xf numFmtId="164" fontId="2" fillId="0" borderId="3" xfId="0" applyNumberFormat="1" applyFont="1" applyBorder="1" applyAlignment="1">
      <alignment horizontal="center"/>
    </xf>
    <xf numFmtId="0" fontId="2" fillId="0" borderId="3" xfId="0" applyFont="1" applyBorder="1" applyAlignment="1">
      <alignment horizontal="center"/>
    </xf>
    <xf numFmtId="0" fontId="5" fillId="0" borderId="0" xfId="0" applyFont="1" applyAlignment="1">
      <alignment horizontal="left" vertical="center"/>
    </xf>
    <xf numFmtId="0" fontId="5"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1" fillId="0" borderId="3" xfId="0" applyFont="1" applyBorder="1" applyAlignment="1">
      <alignment horizontal="center" vertical="center" wrapText="1"/>
    </xf>
    <xf numFmtId="1" fontId="8" fillId="3" borderId="15" xfId="0" applyNumberFormat="1" applyFont="1" applyFill="1" applyBorder="1" applyAlignment="1">
      <alignment horizontal="center"/>
    </xf>
    <xf numFmtId="49" fontId="1" fillId="3" borderId="15" xfId="0" applyNumberFormat="1" applyFont="1" applyFill="1" applyBorder="1" applyAlignment="1">
      <alignment horizontal="center" vertical="center"/>
    </xf>
    <xf numFmtId="0" fontId="12" fillId="0" borderId="3" xfId="0" applyFont="1" applyBorder="1"/>
    <xf numFmtId="49" fontId="8" fillId="3" borderId="15" xfId="0" applyNumberFormat="1" applyFont="1" applyFill="1" applyBorder="1" applyAlignment="1">
      <alignment horizontal="center"/>
    </xf>
    <xf numFmtId="0" fontId="12" fillId="3" borderId="16" xfId="0" applyFont="1" applyFill="1" applyBorder="1" applyAlignment="1">
      <alignment horizontal="center"/>
    </xf>
    <xf numFmtId="165" fontId="12" fillId="8" borderId="16" xfId="0" applyNumberFormat="1" applyFont="1" applyFill="1" applyBorder="1"/>
    <xf numFmtId="1" fontId="8" fillId="0" borderId="3" xfId="0" applyNumberFormat="1" applyFont="1" applyBorder="1" applyAlignment="1">
      <alignment horizontal="center"/>
    </xf>
    <xf numFmtId="49" fontId="1" fillId="0" borderId="3" xfId="0" applyNumberFormat="1" applyFont="1" applyBorder="1" applyAlignment="1">
      <alignment horizontal="center" vertical="center"/>
    </xf>
    <xf numFmtId="1" fontId="8" fillId="3" borderId="3" xfId="0" applyNumberFormat="1" applyFont="1" applyFill="1" applyBorder="1" applyAlignment="1">
      <alignment horizontal="center"/>
    </xf>
    <xf numFmtId="49" fontId="2" fillId="0" borderId="3" xfId="0" applyNumberFormat="1" applyFont="1" applyBorder="1" applyAlignment="1">
      <alignment horizontal="center" vertical="center"/>
    </xf>
    <xf numFmtId="1" fontId="2" fillId="3" borderId="3" xfId="0" applyNumberFormat="1" applyFont="1" applyFill="1" applyBorder="1" applyAlignment="1">
      <alignment horizontal="center"/>
    </xf>
    <xf numFmtId="49" fontId="2" fillId="3" borderId="3" xfId="0" applyNumberFormat="1" applyFont="1" applyFill="1" applyBorder="1" applyAlignment="1">
      <alignment horizontal="center" vertical="center"/>
    </xf>
    <xf numFmtId="49" fontId="2" fillId="0" borderId="3" xfId="0" applyNumberFormat="1" applyFont="1" applyBorder="1"/>
    <xf numFmtId="0" fontId="1" fillId="0" borderId="3" xfId="0" applyFont="1" applyBorder="1" applyAlignment="1">
      <alignment horizontal="center" vertical="center"/>
    </xf>
    <xf numFmtId="49" fontId="1" fillId="0" borderId="3" xfId="0" applyNumberFormat="1" applyFont="1" applyBorder="1" applyAlignment="1">
      <alignment horizontal="right"/>
    </xf>
    <xf numFmtId="0" fontId="2" fillId="8" borderId="3" xfId="0" applyFont="1" applyFill="1" applyBorder="1"/>
    <xf numFmtId="49" fontId="1" fillId="0" borderId="0" xfId="0" applyNumberFormat="1" applyFont="1" applyAlignment="1">
      <alignment horizontal="center" vertical="center"/>
    </xf>
    <xf numFmtId="0" fontId="2" fillId="8" borderId="17" xfId="0" applyFont="1" applyFill="1" applyBorder="1"/>
    <xf numFmtId="0" fontId="12" fillId="3" borderId="17" xfId="0" applyFont="1" applyFill="1" applyBorder="1" applyAlignment="1">
      <alignment horizontal="center"/>
    </xf>
    <xf numFmtId="0" fontId="12" fillId="0" borderId="0" xfId="0" applyFont="1"/>
    <xf numFmtId="0" fontId="9" fillId="3" borderId="18" xfId="0" applyFont="1" applyFill="1" applyBorder="1" applyAlignment="1">
      <alignment horizontal="left"/>
    </xf>
    <xf numFmtId="0" fontId="13" fillId="3" borderId="20" xfId="0" applyFont="1" applyFill="1" applyBorder="1"/>
    <xf numFmtId="0" fontId="13" fillId="3" borderId="21" xfId="0" applyFont="1" applyFill="1" applyBorder="1"/>
    <xf numFmtId="0" fontId="13" fillId="3" borderId="17" xfId="0" applyFont="1" applyFill="1" applyBorder="1"/>
    <xf numFmtId="0" fontId="13" fillId="3" borderId="22" xfId="0" applyFont="1" applyFill="1" applyBorder="1"/>
    <xf numFmtId="0" fontId="13" fillId="3" borderId="22" xfId="0" applyFont="1" applyFill="1" applyBorder="1" applyAlignment="1">
      <alignment vertical="center"/>
    </xf>
    <xf numFmtId="0" fontId="13" fillId="3" borderId="26" xfId="0" applyFont="1" applyFill="1" applyBorder="1"/>
    <xf numFmtId="0" fontId="15" fillId="3" borderId="3" xfId="0" applyFont="1" applyFill="1" applyBorder="1" applyAlignment="1">
      <alignment horizontal="center"/>
    </xf>
    <xf numFmtId="0" fontId="13" fillId="3" borderId="28" xfId="0" applyFont="1" applyFill="1" applyBorder="1"/>
    <xf numFmtId="0" fontId="13" fillId="3" borderId="29" xfId="0" applyFont="1" applyFill="1" applyBorder="1"/>
    <xf numFmtId="0" fontId="13" fillId="3" borderId="16" xfId="0" applyFont="1" applyFill="1" applyBorder="1"/>
    <xf numFmtId="0" fontId="13" fillId="3" borderId="17" xfId="0" applyFont="1" applyFill="1" applyBorder="1" applyAlignment="1">
      <alignment horizontal="left"/>
    </xf>
    <xf numFmtId="0" fontId="13" fillId="3" borderId="17" xfId="0" applyFont="1" applyFill="1" applyBorder="1" applyAlignment="1">
      <alignment horizontal="right"/>
    </xf>
    <xf numFmtId="0" fontId="13" fillId="3" borderId="30" xfId="0" applyFont="1" applyFill="1" applyBorder="1"/>
    <xf numFmtId="0" fontId="16" fillId="3" borderId="17" xfId="0" applyFont="1" applyFill="1" applyBorder="1" applyAlignment="1">
      <alignment horizontal="center"/>
    </xf>
    <xf numFmtId="0" fontId="8" fillId="3" borderId="21" xfId="0" applyFont="1" applyFill="1" applyBorder="1"/>
    <xf numFmtId="0" fontId="8" fillId="3" borderId="28" xfId="0" applyFont="1" applyFill="1" applyBorder="1"/>
    <xf numFmtId="0" fontId="8" fillId="3" borderId="17" xfId="0" applyFont="1" applyFill="1" applyBorder="1"/>
    <xf numFmtId="0" fontId="8" fillId="3" borderId="22" xfId="0" applyFont="1" applyFill="1" applyBorder="1"/>
    <xf numFmtId="0" fontId="12" fillId="3" borderId="17" xfId="0" applyFont="1" applyFill="1" applyBorder="1"/>
    <xf numFmtId="0" fontId="18" fillId="3" borderId="17" xfId="0" applyFont="1" applyFill="1" applyBorder="1" applyAlignment="1">
      <alignment horizontal="center"/>
    </xf>
    <xf numFmtId="0" fontId="12" fillId="3" borderId="28" xfId="0" applyFont="1" applyFill="1" applyBorder="1"/>
    <xf numFmtId="0" fontId="12" fillId="3" borderId="29" xfId="0" applyFont="1" applyFill="1" applyBorder="1"/>
    <xf numFmtId="0" fontId="12" fillId="3" borderId="16" xfId="0" applyFont="1" applyFill="1" applyBorder="1"/>
    <xf numFmtId="0" fontId="15" fillId="3" borderId="3" xfId="0" applyFont="1" applyFill="1" applyBorder="1"/>
    <xf numFmtId="0" fontId="12" fillId="0" borderId="0" xfId="0" applyFont="1" applyAlignment="1">
      <alignment horizontal="right"/>
    </xf>
    <xf numFmtId="0" fontId="19" fillId="0" borderId="0" xfId="0" applyFont="1" applyAlignment="1">
      <alignment horizontal="right"/>
    </xf>
    <xf numFmtId="166" fontId="19" fillId="0" borderId="0" xfId="0" applyNumberFormat="1" applyFont="1"/>
    <xf numFmtId="0" fontId="12" fillId="0" borderId="0" xfId="0" applyFont="1" applyAlignment="1">
      <alignment horizontal="center"/>
    </xf>
    <xf numFmtId="0" fontId="16" fillId="0" borderId="0" xfId="0" applyFont="1"/>
    <xf numFmtId="49" fontId="12" fillId="0" borderId="0" xfId="0" applyNumberFormat="1" applyFont="1"/>
    <xf numFmtId="1" fontId="12" fillId="0" borderId="0" xfId="0" applyNumberFormat="1" applyFont="1"/>
    <xf numFmtId="0" fontId="20" fillId="0" borderId="0" xfId="0" applyFont="1" applyAlignment="1">
      <alignment horizontal="center"/>
    </xf>
    <xf numFmtId="0" fontId="20" fillId="9" borderId="3" xfId="0" applyFont="1" applyFill="1" applyBorder="1" applyAlignment="1">
      <alignment horizontal="center"/>
    </xf>
    <xf numFmtId="0" fontId="21" fillId="9" borderId="3" xfId="0" applyFont="1" applyFill="1" applyBorder="1" applyAlignment="1">
      <alignment horizontal="center" wrapText="1"/>
    </xf>
    <xf numFmtId="164" fontId="12" fillId="0" borderId="3" xfId="0" applyNumberFormat="1" applyFont="1" applyBorder="1" applyAlignment="1">
      <alignment horizontal="right"/>
    </xf>
    <xf numFmtId="164" fontId="12" fillId="0" borderId="3" xfId="0" applyNumberFormat="1" applyFont="1" applyBorder="1"/>
    <xf numFmtId="0" fontId="12" fillId="0" borderId="3" xfId="0" applyFont="1" applyBorder="1" applyAlignment="1">
      <alignment horizontal="center"/>
    </xf>
    <xf numFmtId="0" fontId="12" fillId="0" borderId="0" xfId="0" applyFont="1" applyAlignment="1">
      <alignment wrapText="1"/>
    </xf>
    <xf numFmtId="0" fontId="12" fillId="0" borderId="0" xfId="0" applyFont="1" applyAlignment="1">
      <alignment horizontal="right" vertical="center"/>
    </xf>
    <xf numFmtId="0" fontId="12" fillId="0" borderId="0" xfId="0" applyFont="1" applyAlignment="1">
      <alignment horizontal="left" vertical="center"/>
    </xf>
    <xf numFmtId="0" fontId="23" fillId="0" borderId="0" xfId="0" applyFont="1" applyAlignment="1">
      <alignment horizontal="right" vertical="center"/>
    </xf>
    <xf numFmtId="49" fontId="12" fillId="0" borderId="0" xfId="0" applyNumberFormat="1" applyFont="1" applyAlignment="1">
      <alignment horizontal="left" vertical="center"/>
    </xf>
    <xf numFmtId="0" fontId="15" fillId="0" borderId="0" xfId="0" applyFont="1"/>
    <xf numFmtId="0" fontId="12" fillId="0" borderId="0" xfId="0" applyFont="1" applyAlignment="1">
      <alignment horizontal="left" vertical="top"/>
    </xf>
    <xf numFmtId="0" fontId="12" fillId="0" borderId="0" xfId="0" applyFont="1" applyAlignment="1">
      <alignment horizontal="left"/>
    </xf>
    <xf numFmtId="0" fontId="23" fillId="0" borderId="0" xfId="0" applyFont="1" applyAlignment="1">
      <alignment horizontal="left" vertical="top"/>
    </xf>
    <xf numFmtId="0" fontId="23" fillId="0" borderId="0" xfId="0" applyFont="1" applyAlignment="1">
      <alignment horizontal="center" vertical="top"/>
    </xf>
    <xf numFmtId="167" fontId="12" fillId="0" borderId="0" xfId="0" applyNumberFormat="1" applyFont="1" applyAlignment="1">
      <alignment horizontal="left"/>
    </xf>
    <xf numFmtId="0" fontId="24" fillId="0" borderId="0" xfId="0" applyFont="1"/>
    <xf numFmtId="0" fontId="16" fillId="0" borderId="0" xfId="0" applyFont="1" applyAlignment="1">
      <alignment horizontal="left"/>
    </xf>
    <xf numFmtId="49" fontId="12" fillId="0" borderId="3" xfId="0" applyNumberFormat="1" applyFont="1" applyBorder="1" applyAlignment="1">
      <alignment horizontal="right"/>
    </xf>
    <xf numFmtId="0" fontId="12" fillId="0" borderId="6" xfId="0" applyFont="1" applyBorder="1"/>
    <xf numFmtId="0" fontId="15" fillId="0" borderId="0" xfId="0" applyFont="1" applyAlignment="1">
      <alignment horizontal="left" vertical="center"/>
    </xf>
    <xf numFmtId="0" fontId="23" fillId="0" borderId="0" xfId="0" applyFont="1" applyAlignment="1">
      <alignment horizontal="left" vertical="center"/>
    </xf>
    <xf numFmtId="49" fontId="12" fillId="0" borderId="0" xfId="0" applyNumberFormat="1" applyFont="1" applyAlignment="1">
      <alignment vertical="center"/>
    </xf>
    <xf numFmtId="0" fontId="12" fillId="0" borderId="0" xfId="0" applyFont="1" applyAlignment="1">
      <alignment vertical="center"/>
    </xf>
    <xf numFmtId="164" fontId="12" fillId="0" borderId="0" xfId="0" applyNumberFormat="1" applyFont="1" applyAlignment="1">
      <alignment vertical="center"/>
    </xf>
    <xf numFmtId="0" fontId="15" fillId="0" borderId="3" xfId="0" applyFont="1" applyBorder="1" applyAlignment="1">
      <alignment horizontal="center"/>
    </xf>
    <xf numFmtId="0" fontId="12" fillId="0" borderId="37" xfId="0" applyFont="1" applyBorder="1"/>
    <xf numFmtId="0" fontId="27" fillId="10" borderId="3" xfId="0" applyFont="1" applyFill="1" applyBorder="1"/>
    <xf numFmtId="0" fontId="27" fillId="10" borderId="17" xfId="0" applyFont="1" applyFill="1" applyBorder="1"/>
    <xf numFmtId="0" fontId="9" fillId="11" borderId="3" xfId="0" applyFont="1" applyFill="1" applyBorder="1"/>
    <xf numFmtId="0" fontId="9" fillId="12" borderId="3" xfId="0" applyFont="1" applyFill="1" applyBorder="1"/>
    <xf numFmtId="0" fontId="9" fillId="0" borderId="38" xfId="0" applyFont="1" applyBorder="1"/>
    <xf numFmtId="0" fontId="9" fillId="0" borderId="5" xfId="0" applyFont="1" applyBorder="1"/>
    <xf numFmtId="0" fontId="9" fillId="13" borderId="3" xfId="0" applyFont="1" applyFill="1" applyBorder="1"/>
    <xf numFmtId="0" fontId="9" fillId="5" borderId="3" xfId="0" applyFont="1" applyFill="1" applyBorder="1"/>
    <xf numFmtId="0" fontId="9" fillId="0" borderId="39" xfId="0" applyFont="1" applyBorder="1"/>
    <xf numFmtId="0" fontId="9" fillId="0" borderId="37" xfId="0" applyFont="1" applyBorder="1"/>
    <xf numFmtId="0" fontId="27" fillId="10" borderId="3" xfId="0" applyFont="1" applyFill="1" applyBorder="1" applyAlignment="1">
      <alignment horizontal="center" vertical="center"/>
    </xf>
    <xf numFmtId="0" fontId="9" fillId="0" borderId="3" xfId="0" applyFont="1" applyBorder="1" applyAlignment="1">
      <alignment horizontal="center" vertical="center"/>
    </xf>
    <xf numFmtId="0" fontId="9" fillId="0" borderId="3" xfId="0" applyFont="1" applyBorder="1" applyAlignment="1">
      <alignment horizontal="center"/>
    </xf>
    <xf numFmtId="0" fontId="28" fillId="0" borderId="0" xfId="0" applyFont="1"/>
    <xf numFmtId="0" fontId="9" fillId="0" borderId="0" xfId="0" applyFont="1" applyAlignment="1">
      <alignment horizontal="left"/>
    </xf>
    <xf numFmtId="0" fontId="8" fillId="0" borderId="0" xfId="0" applyFont="1"/>
    <xf numFmtId="0" fontId="8" fillId="0" borderId="6" xfId="0" applyFont="1" applyBorder="1" applyAlignment="1">
      <alignment horizontal="center"/>
    </xf>
    <xf numFmtId="0" fontId="8" fillId="0" borderId="0" xfId="0" applyFont="1" applyAlignment="1">
      <alignment horizontal="center"/>
    </xf>
    <xf numFmtId="49" fontId="8" fillId="0" borderId="6" xfId="0" applyNumberFormat="1" applyFont="1" applyBorder="1"/>
    <xf numFmtId="0" fontId="8" fillId="0" borderId="3" xfId="0" applyFont="1" applyBorder="1" applyAlignment="1">
      <alignment horizontal="center" wrapText="1"/>
    </xf>
    <xf numFmtId="0" fontId="8" fillId="0" borderId="4" xfId="0" applyFont="1" applyBorder="1" applyAlignment="1">
      <alignment horizontal="center" wrapText="1"/>
    </xf>
    <xf numFmtId="0" fontId="8" fillId="0" borderId="14" xfId="0" applyFont="1" applyBorder="1" applyAlignment="1">
      <alignment horizontal="right"/>
    </xf>
    <xf numFmtId="1" fontId="8" fillId="0" borderId="7" xfId="0" applyNumberFormat="1" applyFont="1" applyBorder="1" applyAlignment="1">
      <alignment horizontal="center"/>
    </xf>
    <xf numFmtId="49" fontId="8" fillId="0" borderId="7" xfId="0" applyNumberFormat="1" applyFont="1" applyBorder="1" applyAlignment="1">
      <alignment horizontal="center"/>
    </xf>
    <xf numFmtId="165" fontId="8" fillId="0" borderId="7" xfId="0" applyNumberFormat="1" applyFont="1" applyBorder="1" applyAlignment="1">
      <alignment horizontal="center"/>
    </xf>
    <xf numFmtId="169" fontId="8" fillId="0" borderId="7" xfId="0" applyNumberFormat="1" applyFont="1" applyBorder="1" applyAlignment="1">
      <alignment horizontal="center"/>
    </xf>
    <xf numFmtId="0" fontId="30" fillId="3" borderId="16" xfId="0" applyFont="1" applyFill="1" applyBorder="1" applyAlignment="1">
      <alignment horizontal="center" wrapText="1"/>
    </xf>
    <xf numFmtId="0" fontId="1" fillId="0" borderId="0" xfId="0" applyFont="1" applyAlignment="1">
      <alignment wrapText="1"/>
    </xf>
    <xf numFmtId="0" fontId="2" fillId="0" borderId="0" xfId="0" applyFont="1" applyAlignment="1">
      <alignment wrapText="1"/>
    </xf>
    <xf numFmtId="0" fontId="2" fillId="0" borderId="0" xfId="0" applyFont="1" applyAlignment="1">
      <alignment horizontal="center" wrapText="1"/>
    </xf>
    <xf numFmtId="0" fontId="7" fillId="0" borderId="0" xfId="0" applyFont="1" applyAlignment="1">
      <alignment horizontal="center" wrapText="1"/>
    </xf>
    <xf numFmtId="0" fontId="5" fillId="0" borderId="0" xfId="0" applyFont="1" applyAlignment="1">
      <alignment horizontal="center" wrapText="1"/>
    </xf>
    <xf numFmtId="49" fontId="10" fillId="0" borderId="0" xfId="0" applyNumberFormat="1" applyFont="1" applyAlignment="1">
      <alignment horizontal="center" wrapText="1"/>
    </xf>
    <xf numFmtId="0" fontId="0" fillId="0" borderId="0" xfId="0" applyAlignment="1">
      <alignment wrapText="1"/>
    </xf>
    <xf numFmtId="0" fontId="12" fillId="3" borderId="16" xfId="0" applyFont="1" applyFill="1" applyBorder="1" applyAlignment="1">
      <alignment horizontal="center" wrapText="1"/>
    </xf>
    <xf numFmtId="49" fontId="1" fillId="0" borderId="0" xfId="0" applyNumberFormat="1" applyFont="1" applyAlignment="1">
      <alignment horizontal="center" vertical="center" wrapText="1"/>
    </xf>
    <xf numFmtId="0" fontId="33" fillId="7" borderId="0" xfId="1" applyFill="1" applyAlignment="1">
      <alignment horizontal="center"/>
    </xf>
    <xf numFmtId="1" fontId="8" fillId="14" borderId="3" xfId="0" applyNumberFormat="1" applyFont="1" applyFill="1" applyBorder="1" applyAlignment="1">
      <alignment horizontal="center"/>
    </xf>
    <xf numFmtId="1" fontId="8" fillId="14" borderId="15" xfId="0" applyNumberFormat="1" applyFont="1" applyFill="1" applyBorder="1" applyAlignment="1">
      <alignment horizontal="center"/>
    </xf>
    <xf numFmtId="0" fontId="6" fillId="0" borderId="1" xfId="0" applyFont="1" applyBorder="1" applyAlignment="1">
      <alignment horizontal="center"/>
    </xf>
    <xf numFmtId="0" fontId="4" fillId="0" borderId="4" xfId="0" applyFont="1" applyBorder="1"/>
    <xf numFmtId="0" fontId="5" fillId="0" borderId="1" xfId="0" applyFont="1" applyBorder="1" applyAlignment="1">
      <alignment horizontal="left" vertical="center"/>
    </xf>
    <xf numFmtId="0" fontId="2" fillId="0" borderId="0" xfId="0" applyFont="1" applyAlignment="1">
      <alignment horizontal="center"/>
    </xf>
    <xf numFmtId="0" fontId="0" fillId="0" borderId="0" xfId="0"/>
    <xf numFmtId="49" fontId="6" fillId="0" borderId="5" xfId="0" applyNumberFormat="1" applyFont="1" applyBorder="1" applyAlignment="1">
      <alignment horizontal="center"/>
    </xf>
    <xf numFmtId="0" fontId="4" fillId="0" borderId="6" xfId="0" applyFont="1" applyBorder="1"/>
    <xf numFmtId="0" fontId="4" fillId="0" borderId="7" xfId="0" applyFont="1" applyBorder="1"/>
    <xf numFmtId="0" fontId="2" fillId="0" borderId="1" xfId="0" applyFont="1" applyBorder="1" applyAlignment="1">
      <alignment horizontal="center"/>
    </xf>
    <xf numFmtId="0" fontId="4" fillId="0" borderId="2" xfId="0" applyFont="1" applyBorder="1"/>
    <xf numFmtId="0" fontId="3" fillId="2" borderId="1" xfId="0" applyFont="1" applyFill="1" applyBorder="1" applyAlignment="1">
      <alignment horizontal="center" vertical="center"/>
    </xf>
    <xf numFmtId="0" fontId="11" fillId="6" borderId="1" xfId="0" applyFont="1" applyFill="1" applyBorder="1" applyAlignment="1">
      <alignment horizontal="center"/>
    </xf>
    <xf numFmtId="49" fontId="6" fillId="0" borderId="28" xfId="0" applyNumberFormat="1" applyFont="1" applyBorder="1" applyAlignment="1">
      <alignment horizontal="center"/>
    </xf>
    <xf numFmtId="0" fontId="4" fillId="0" borderId="36" xfId="0" applyFont="1" applyBorder="1"/>
    <xf numFmtId="0" fontId="4" fillId="0" borderId="16" xfId="0" applyFont="1" applyBorder="1"/>
    <xf numFmtId="0" fontId="31" fillId="0" borderId="1" xfId="0" applyFont="1" applyBorder="1" applyAlignment="1">
      <alignment horizontal="center"/>
    </xf>
    <xf numFmtId="0" fontId="32" fillId="0" borderId="2" xfId="0" applyFont="1" applyBorder="1"/>
    <xf numFmtId="0" fontId="32" fillId="0" borderId="4" xfId="0" applyFont="1" applyBorder="1"/>
    <xf numFmtId="49" fontId="6" fillId="0" borderId="1" xfId="0" applyNumberFormat="1" applyFont="1" applyBorder="1" applyAlignment="1">
      <alignment horizontal="center"/>
    </xf>
    <xf numFmtId="49" fontId="2" fillId="0" borderId="1" xfId="0" applyNumberFormat="1" applyFont="1" applyBorder="1" applyAlignment="1">
      <alignment horizontal="center"/>
    </xf>
    <xf numFmtId="1" fontId="8" fillId="3" borderId="11" xfId="0" applyNumberFormat="1" applyFont="1" applyFill="1" applyBorder="1" applyAlignment="1">
      <alignment horizontal="center"/>
    </xf>
    <xf numFmtId="0" fontId="4" fillId="0" borderId="12" xfId="0" applyFont="1" applyBorder="1"/>
    <xf numFmtId="0" fontId="4" fillId="0" borderId="13" xfId="0" applyFont="1" applyBorder="1"/>
    <xf numFmtId="49" fontId="33" fillId="0" borderId="1" xfId="1" applyNumberFormat="1" applyBorder="1" applyAlignment="1">
      <alignment horizontal="center"/>
    </xf>
    <xf numFmtId="49" fontId="6" fillId="0" borderId="1" xfId="0" applyNumberFormat="1" applyFont="1" applyBorder="1" applyAlignment="1">
      <alignment horizontal="center" wrapText="1"/>
    </xf>
    <xf numFmtId="0" fontId="4" fillId="0" borderId="2" xfId="0" applyFont="1" applyBorder="1" applyAlignment="1">
      <alignment wrapText="1"/>
    </xf>
    <xf numFmtId="0" fontId="4" fillId="0" borderId="4" xfId="0" applyFont="1" applyBorder="1" applyAlignment="1">
      <alignment wrapText="1"/>
    </xf>
    <xf numFmtId="0" fontId="6" fillId="0" borderId="5" xfId="0" applyFont="1" applyBorder="1" applyAlignment="1">
      <alignment horizontal="center"/>
    </xf>
    <xf numFmtId="0" fontId="3" fillId="2" borderId="8" xfId="0" applyFont="1" applyFill="1" applyBorder="1" applyAlignment="1">
      <alignment horizontal="center" vertical="center"/>
    </xf>
    <xf numFmtId="0" fontId="4" fillId="0" borderId="9" xfId="0" applyFont="1" applyBorder="1"/>
    <xf numFmtId="0" fontId="4" fillId="0" borderId="10" xfId="0" applyFont="1" applyBorder="1"/>
    <xf numFmtId="49" fontId="31" fillId="0" borderId="1" xfId="0" applyNumberFormat="1" applyFont="1" applyBorder="1" applyAlignment="1">
      <alignment horizont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13" fillId="3" borderId="19" xfId="0" applyFont="1" applyFill="1" applyBorder="1" applyAlignment="1">
      <alignment horizontal="center"/>
    </xf>
    <xf numFmtId="0" fontId="13" fillId="3" borderId="23" xfId="0" applyFont="1" applyFill="1" applyBorder="1" applyAlignment="1">
      <alignment horizontal="center"/>
    </xf>
    <xf numFmtId="0" fontId="4" fillId="0" borderId="24" xfId="0" applyFont="1" applyBorder="1"/>
    <xf numFmtId="1" fontId="17" fillId="3" borderId="25" xfId="0" applyNumberFormat="1" applyFont="1" applyFill="1" applyBorder="1" applyAlignment="1">
      <alignment horizontal="center"/>
    </xf>
    <xf numFmtId="0" fontId="14" fillId="3" borderId="31" xfId="0" applyFont="1" applyFill="1" applyBorder="1" applyAlignment="1">
      <alignment horizontal="left" vertical="top" wrapText="1"/>
    </xf>
    <xf numFmtId="0" fontId="4" fillId="0" borderId="32" xfId="0" applyFont="1" applyBorder="1"/>
    <xf numFmtId="0" fontId="4" fillId="0" borderId="33" xfId="0" applyFont="1" applyBorder="1"/>
    <xf numFmtId="0" fontId="4" fillId="0" borderId="34" xfId="0" applyFont="1" applyBorder="1"/>
    <xf numFmtId="0" fontId="4" fillId="0" borderId="35" xfId="0" applyFont="1" applyBorder="1"/>
    <xf numFmtId="0" fontId="13" fillId="3" borderId="31" xfId="0" applyFont="1" applyFill="1" applyBorder="1" applyAlignment="1">
      <alignment horizontal="left"/>
    </xf>
    <xf numFmtId="0" fontId="13" fillId="3" borderId="23" xfId="0" applyFont="1" applyFill="1" applyBorder="1"/>
    <xf numFmtId="0" fontId="16" fillId="3" borderId="25" xfId="0" applyFont="1" applyFill="1" applyBorder="1" applyAlignment="1">
      <alignment horizontal="center"/>
    </xf>
    <xf numFmtId="0" fontId="8" fillId="3" borderId="25" xfId="0" applyFont="1" applyFill="1" applyBorder="1" applyAlignment="1">
      <alignment horizontal="center"/>
    </xf>
    <xf numFmtId="0" fontId="12" fillId="3" borderId="25" xfId="0" applyFont="1" applyFill="1" applyBorder="1"/>
    <xf numFmtId="0" fontId="13" fillId="3" borderId="27" xfId="0" applyFont="1" applyFill="1" applyBorder="1"/>
    <xf numFmtId="0" fontId="16" fillId="3" borderId="25" xfId="0" applyFont="1" applyFill="1" applyBorder="1"/>
    <xf numFmtId="0" fontId="15" fillId="3" borderId="1" xfId="0" applyFont="1" applyFill="1" applyBorder="1" applyAlignment="1">
      <alignment horizontal="center"/>
    </xf>
    <xf numFmtId="0" fontId="13" fillId="3" borderId="8" xfId="0" applyFont="1" applyFill="1" applyBorder="1"/>
    <xf numFmtId="0" fontId="14" fillId="3" borderId="27" xfId="0" applyFont="1" applyFill="1" applyBorder="1"/>
    <xf numFmtId="0" fontId="14" fillId="3" borderId="23" xfId="0" applyFont="1" applyFill="1" applyBorder="1"/>
    <xf numFmtId="49" fontId="16" fillId="3" borderId="25" xfId="0" applyNumberFormat="1" applyFont="1" applyFill="1" applyBorder="1"/>
    <xf numFmtId="0" fontId="12" fillId="3" borderId="1" xfId="0" applyFont="1" applyFill="1" applyBorder="1" applyAlignment="1">
      <alignment horizontal="center"/>
    </xf>
    <xf numFmtId="49" fontId="8" fillId="3" borderId="25" xfId="0" applyNumberFormat="1" applyFont="1" applyFill="1" applyBorder="1" applyAlignment="1">
      <alignment horizontal="center"/>
    </xf>
    <xf numFmtId="0" fontId="20" fillId="9" borderId="1" xfId="0" applyFont="1" applyFill="1" applyBorder="1" applyAlignment="1">
      <alignment horizontal="center"/>
    </xf>
    <xf numFmtId="0" fontId="12" fillId="0" borderId="1" xfId="0" applyFont="1" applyBorder="1"/>
    <xf numFmtId="49" fontId="12" fillId="0" borderId="0" xfId="0" applyNumberFormat="1" applyFont="1"/>
    <xf numFmtId="0" fontId="15" fillId="0" borderId="0" xfId="0" applyFont="1" applyAlignment="1">
      <alignment horizontal="left" wrapText="1"/>
    </xf>
    <xf numFmtId="0" fontId="15" fillId="0" borderId="0" xfId="0" applyFont="1" applyAlignment="1">
      <alignment horizontal="center"/>
    </xf>
    <xf numFmtId="0" fontId="22" fillId="0" borderId="0" xfId="0" applyFont="1" applyAlignment="1">
      <alignment wrapText="1"/>
    </xf>
    <xf numFmtId="0" fontId="12" fillId="0" borderId="0" xfId="0" applyFont="1" applyAlignment="1">
      <alignment wrapText="1"/>
    </xf>
    <xf numFmtId="0" fontId="12" fillId="0" borderId="0" xfId="0" applyFont="1"/>
    <xf numFmtId="0" fontId="12" fillId="0" borderId="0" xfId="0" applyFont="1" applyAlignment="1">
      <alignment horizontal="center"/>
    </xf>
    <xf numFmtId="49" fontId="12" fillId="0" borderId="0" xfId="0" applyNumberFormat="1" applyFont="1" applyAlignment="1">
      <alignment horizontal="left"/>
    </xf>
    <xf numFmtId="0" fontId="16" fillId="0" borderId="0" xfId="0" applyFont="1"/>
    <xf numFmtId="49" fontId="12" fillId="0" borderId="0" xfId="0" applyNumberFormat="1" applyFont="1" applyAlignment="1">
      <alignment horizontal="center"/>
    </xf>
    <xf numFmtId="49" fontId="16" fillId="0" borderId="0" xfId="0" applyNumberFormat="1" applyFont="1" applyAlignment="1">
      <alignment horizontal="center"/>
    </xf>
    <xf numFmtId="0" fontId="12" fillId="0" borderId="0" xfId="0" applyFont="1" applyAlignment="1">
      <alignment horizontal="left"/>
    </xf>
    <xf numFmtId="49" fontId="12" fillId="0" borderId="1" xfId="0" applyNumberFormat="1" applyFont="1" applyBorder="1"/>
    <xf numFmtId="0" fontId="12" fillId="0" borderId="37" xfId="0" applyFont="1" applyBorder="1" applyAlignment="1">
      <alignment horizontal="center"/>
    </xf>
    <xf numFmtId="0" fontId="4" fillId="0" borderId="37" xfId="0" applyFont="1" applyBorder="1"/>
    <xf numFmtId="0" fontId="12" fillId="0" borderId="6" xfId="0" applyFont="1" applyBorder="1"/>
    <xf numFmtId="0" fontId="25" fillId="0" borderId="0" xfId="0" applyFont="1" applyAlignment="1">
      <alignment horizontal="center"/>
    </xf>
    <xf numFmtId="0" fontId="26" fillId="0" borderId="1" xfId="0" applyFont="1" applyBorder="1" applyAlignment="1">
      <alignment horizontal="center"/>
    </xf>
    <xf numFmtId="49" fontId="12" fillId="0" borderId="1" xfId="0" applyNumberFormat="1" applyFont="1" applyBorder="1" applyAlignment="1">
      <alignment horizontal="center"/>
    </xf>
    <xf numFmtId="168" fontId="12" fillId="0" borderId="1" xfId="0" applyNumberFormat="1" applyFont="1" applyBorder="1" applyAlignment="1">
      <alignment horizontal="center"/>
    </xf>
    <xf numFmtId="0" fontId="9" fillId="0" borderId="40" xfId="0" applyFont="1" applyBorder="1" applyAlignment="1">
      <alignment horizontal="center" vertical="center" wrapText="1"/>
    </xf>
    <xf numFmtId="0" fontId="4" fillId="0" borderId="41" xfId="0" applyFont="1" applyBorder="1"/>
    <xf numFmtId="0" fontId="4" fillId="0" borderId="14" xfId="0" applyFont="1" applyBorder="1"/>
    <xf numFmtId="0" fontId="8" fillId="0" borderId="0" xfId="0" applyFont="1"/>
    <xf numFmtId="0" fontId="8" fillId="0" borderId="0" xfId="0" applyFont="1" applyAlignment="1">
      <alignment horizontal="center"/>
    </xf>
    <xf numFmtId="166" fontId="8" fillId="0" borderId="6" xfId="0" applyNumberFormat="1" applyFont="1" applyBorder="1" applyAlignment="1">
      <alignment horizontal="left"/>
    </xf>
    <xf numFmtId="0" fontId="29" fillId="0" borderId="0" xfId="0" applyFont="1" applyAlignment="1">
      <alignment horizontal="center" vertical="center" wrapText="1"/>
    </xf>
    <xf numFmtId="49" fontId="12" fillId="0" borderId="6" xfId="0" applyNumberFormat="1" applyFont="1" applyBorder="1"/>
    <xf numFmtId="0" fontId="8" fillId="0" borderId="2" xfId="0" applyFont="1" applyBorder="1" applyAlignment="1">
      <alignment horizontal="center" wrapText="1"/>
    </xf>
    <xf numFmtId="0" fontId="8" fillId="0" borderId="1" xfId="0" applyFont="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38150" cy="428625"/>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438150" cy="428625"/>
    <xdr:pic>
      <xdr:nvPicPr>
        <xdr:cNvPr id="2" name="image1.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0</xdr:rowOff>
    </xdr:from>
    <xdr:ext cx="742950" cy="466725"/>
    <xdr:pic>
      <xdr:nvPicPr>
        <xdr:cNvPr id="2" name="image2.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28</xdr:row>
      <xdr:rowOff>0</xdr:rowOff>
    </xdr:from>
    <xdr:ext cx="742950" cy="466725"/>
    <xdr:pic>
      <xdr:nvPicPr>
        <xdr:cNvPr id="3" name="image2.png" title="Imagen">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23875" cy="504825"/>
    <xdr:pic>
      <xdr:nvPicPr>
        <xdr:cNvPr id="2" name="image1.png" title="Imagen">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cruz.t.isma13@gamail.com" TargetMode="External"/><Relationship Id="rId1" Type="http://schemas.openxmlformats.org/officeDocument/2006/relationships/hyperlink" Target="mailto:cruz.t.isma13@gamail.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pageSetUpPr fitToPage="1"/>
  </sheetPr>
  <dimension ref="A1:AA992"/>
  <sheetViews>
    <sheetView showGridLines="0" tabSelected="1" topLeftCell="A4" workbookViewId="0">
      <selection activeCell="A44" sqref="A44"/>
    </sheetView>
  </sheetViews>
  <sheetFormatPr baseColWidth="10" defaultColWidth="14.5" defaultRowHeight="15" customHeight="1" x14ac:dyDescent="0.2"/>
  <cols>
    <col min="1" max="1" width="47.5" customWidth="1"/>
    <col min="2" max="2" width="18" customWidth="1"/>
    <col min="3" max="3" width="20.5" customWidth="1"/>
    <col min="4" max="4" width="13.1640625" customWidth="1"/>
    <col min="5" max="5" width="20" customWidth="1"/>
    <col min="6" max="6" width="24" style="133" customWidth="1"/>
    <col min="7" max="7" width="18.5" customWidth="1"/>
    <col min="8" max="8" width="13.6640625" customWidth="1"/>
    <col min="9" max="9" width="20.5" customWidth="1"/>
    <col min="10" max="27" width="17.33203125" customWidth="1"/>
  </cols>
  <sheetData>
    <row r="1" spans="1:9" x14ac:dyDescent="0.2">
      <c r="A1" s="1"/>
      <c r="B1" s="1"/>
      <c r="C1" s="1"/>
      <c r="D1" s="1"/>
      <c r="E1" s="1"/>
      <c r="F1" s="127"/>
      <c r="G1" s="1"/>
      <c r="H1" s="1"/>
      <c r="I1" s="2"/>
    </row>
    <row r="2" spans="1:9" x14ac:dyDescent="0.2">
      <c r="A2" s="149" t="s">
        <v>0</v>
      </c>
      <c r="B2" s="148"/>
      <c r="C2" s="148"/>
      <c r="D2" s="148"/>
      <c r="E2" s="148"/>
      <c r="F2" s="128"/>
      <c r="G2" s="2"/>
      <c r="H2" s="2"/>
      <c r="I2" s="2"/>
    </row>
    <row r="3" spans="1:9" x14ac:dyDescent="0.2">
      <c r="A3" s="3" t="s">
        <v>1</v>
      </c>
      <c r="B3" s="171" t="s">
        <v>2</v>
      </c>
      <c r="C3" s="148"/>
      <c r="D3" s="148"/>
      <c r="E3" s="140"/>
      <c r="F3" s="128"/>
      <c r="G3" s="2"/>
      <c r="H3" s="2"/>
      <c r="I3" s="2"/>
    </row>
    <row r="4" spans="1:9" x14ac:dyDescent="0.2">
      <c r="A4" s="3" t="s">
        <v>3</v>
      </c>
      <c r="B4" s="171" t="s">
        <v>204</v>
      </c>
      <c r="C4" s="148"/>
      <c r="D4" s="148"/>
      <c r="E4" s="140"/>
      <c r="F4" s="128"/>
      <c r="G4" s="2"/>
      <c r="H4" s="2"/>
      <c r="I4" s="2"/>
    </row>
    <row r="5" spans="1:9" x14ac:dyDescent="0.2">
      <c r="A5" s="3" t="s">
        <v>4</v>
      </c>
      <c r="B5" s="172"/>
      <c r="C5" s="148"/>
      <c r="D5" s="148"/>
      <c r="E5" s="140"/>
      <c r="F5" s="128"/>
      <c r="G5" s="2"/>
      <c r="H5" s="2"/>
      <c r="I5" s="2"/>
    </row>
    <row r="6" spans="1:9" x14ac:dyDescent="0.2">
      <c r="A6" s="4" t="s">
        <v>5</v>
      </c>
      <c r="B6" s="163" t="s">
        <v>209</v>
      </c>
      <c r="C6" s="148"/>
      <c r="D6" s="148"/>
      <c r="E6" s="140"/>
      <c r="F6" s="129"/>
      <c r="G6" s="5"/>
      <c r="H6" s="2"/>
      <c r="I6" s="2"/>
    </row>
    <row r="7" spans="1:9" x14ac:dyDescent="0.2">
      <c r="A7" s="4" t="s">
        <v>6</v>
      </c>
      <c r="B7" s="144" t="s">
        <v>210</v>
      </c>
      <c r="C7" s="145"/>
      <c r="D7" s="145"/>
      <c r="E7" s="146"/>
      <c r="F7" s="130"/>
      <c r="G7" s="6"/>
      <c r="H7" s="2"/>
      <c r="I7" s="2"/>
    </row>
    <row r="8" spans="1:9" x14ac:dyDescent="0.2">
      <c r="A8" s="4" t="s">
        <v>7</v>
      </c>
      <c r="B8" s="144" t="s">
        <v>211</v>
      </c>
      <c r="C8" s="145"/>
      <c r="D8" s="145"/>
      <c r="E8" s="146"/>
      <c r="F8" s="131"/>
      <c r="G8" s="7"/>
      <c r="H8" s="2"/>
      <c r="I8" s="2"/>
    </row>
    <row r="9" spans="1:9" x14ac:dyDescent="0.2">
      <c r="A9" s="4" t="s">
        <v>8</v>
      </c>
      <c r="B9" s="170"/>
      <c r="C9" s="148"/>
      <c r="D9" s="148"/>
      <c r="E9" s="140"/>
      <c r="F9" s="131"/>
      <c r="G9" s="7"/>
      <c r="H9" s="2"/>
      <c r="I9" s="2"/>
    </row>
    <row r="10" spans="1:9" ht="18" customHeight="1" x14ac:dyDescent="0.2">
      <c r="A10" s="4" t="s">
        <v>9</v>
      </c>
      <c r="B10" s="154"/>
      <c r="C10" s="148"/>
      <c r="D10" s="148"/>
      <c r="E10" s="140"/>
      <c r="F10" s="131"/>
      <c r="G10" s="7"/>
      <c r="H10" s="2"/>
      <c r="I10" s="2"/>
    </row>
    <row r="11" spans="1:9" x14ac:dyDescent="0.2">
      <c r="A11" s="4" t="s">
        <v>10</v>
      </c>
      <c r="B11" s="157"/>
      <c r="C11" s="148"/>
      <c r="D11" s="148"/>
      <c r="E11" s="140"/>
      <c r="F11" s="131"/>
      <c r="G11" s="7"/>
      <c r="H11" s="2"/>
      <c r="I11" s="2"/>
    </row>
    <row r="12" spans="1:9" x14ac:dyDescent="0.2">
      <c r="A12" s="167" t="s">
        <v>11</v>
      </c>
      <c r="B12" s="168"/>
      <c r="C12" s="168"/>
      <c r="D12" s="168"/>
      <c r="E12" s="169"/>
      <c r="F12" s="129"/>
      <c r="G12" s="5"/>
      <c r="H12" s="2"/>
      <c r="I12" s="2"/>
    </row>
    <row r="13" spans="1:9" x14ac:dyDescent="0.2">
      <c r="A13" s="4" t="s">
        <v>12</v>
      </c>
      <c r="B13" s="157" t="s">
        <v>207</v>
      </c>
      <c r="C13" s="148"/>
      <c r="D13" s="148"/>
      <c r="E13" s="140"/>
      <c r="F13" s="128"/>
      <c r="G13" s="2"/>
      <c r="H13" s="2"/>
      <c r="I13" s="2"/>
    </row>
    <row r="14" spans="1:9" x14ac:dyDescent="0.2">
      <c r="A14" s="4" t="s">
        <v>14</v>
      </c>
      <c r="B14" s="157" t="s">
        <v>208</v>
      </c>
      <c r="C14" s="148"/>
      <c r="D14" s="148"/>
      <c r="E14" s="140"/>
      <c r="F14" s="128"/>
      <c r="G14" s="2"/>
      <c r="H14" s="2"/>
      <c r="I14" s="2"/>
    </row>
    <row r="15" spans="1:9" x14ac:dyDescent="0.2">
      <c r="A15" s="4" t="s">
        <v>15</v>
      </c>
      <c r="B15" s="157"/>
      <c r="C15" s="148"/>
      <c r="D15" s="148"/>
      <c r="E15" s="140"/>
      <c r="F15" s="128"/>
      <c r="G15" s="2"/>
      <c r="H15" s="2"/>
      <c r="I15" s="2"/>
    </row>
    <row r="16" spans="1:9" x14ac:dyDescent="0.2">
      <c r="A16" s="4" t="s">
        <v>16</v>
      </c>
      <c r="B16" s="157"/>
      <c r="C16" s="148"/>
      <c r="D16" s="148"/>
      <c r="E16" s="140"/>
      <c r="F16" s="128"/>
      <c r="G16" s="2"/>
      <c r="H16" s="2"/>
      <c r="I16" s="2"/>
    </row>
    <row r="17" spans="1:27" x14ac:dyDescent="0.2">
      <c r="A17" s="4" t="s">
        <v>17</v>
      </c>
      <c r="B17" s="159" t="s">
        <v>212</v>
      </c>
      <c r="C17" s="160"/>
      <c r="D17" s="160"/>
      <c r="E17" s="161"/>
      <c r="F17" s="128"/>
      <c r="G17" s="2"/>
      <c r="H17" s="2"/>
      <c r="I17" s="2"/>
      <c r="J17" s="8"/>
      <c r="K17" s="8"/>
      <c r="L17" s="8"/>
      <c r="M17" s="8"/>
      <c r="N17" s="8"/>
      <c r="O17" s="8"/>
      <c r="P17" s="8"/>
      <c r="Q17" s="8"/>
      <c r="R17" s="8"/>
      <c r="S17" s="8"/>
      <c r="T17" s="8"/>
      <c r="U17" s="8"/>
      <c r="V17" s="8"/>
      <c r="W17" s="8"/>
      <c r="X17" s="8"/>
      <c r="Y17" s="8"/>
      <c r="Z17" s="8"/>
      <c r="AA17" s="8"/>
    </row>
    <row r="18" spans="1:27" x14ac:dyDescent="0.2">
      <c r="A18" s="4" t="s">
        <v>18</v>
      </c>
      <c r="B18" s="162" t="s">
        <v>213</v>
      </c>
      <c r="C18" s="148"/>
      <c r="D18" s="148"/>
      <c r="E18" s="140"/>
      <c r="F18" s="128"/>
      <c r="G18" s="2"/>
      <c r="H18" s="2"/>
      <c r="I18" s="2"/>
      <c r="J18" s="8"/>
      <c r="K18" s="8"/>
      <c r="L18" s="8"/>
      <c r="M18" s="8"/>
      <c r="N18" s="8"/>
      <c r="O18" s="8"/>
      <c r="P18" s="8"/>
      <c r="Q18" s="8"/>
      <c r="R18" s="8"/>
      <c r="S18" s="8"/>
      <c r="T18" s="8"/>
      <c r="U18" s="8"/>
      <c r="V18" s="8"/>
      <c r="W18" s="8"/>
      <c r="X18" s="8"/>
      <c r="Y18" s="8"/>
      <c r="Z18" s="8"/>
      <c r="AA18" s="8"/>
    </row>
    <row r="19" spans="1:27" x14ac:dyDescent="0.2">
      <c r="A19" s="4" t="s">
        <v>19</v>
      </c>
      <c r="B19" s="163" t="s">
        <v>214</v>
      </c>
      <c r="C19" s="164"/>
      <c r="D19" s="164"/>
      <c r="E19" s="165"/>
      <c r="F19" s="128"/>
      <c r="G19" s="2"/>
      <c r="H19" s="2"/>
      <c r="I19" s="2"/>
    </row>
    <row r="20" spans="1:27" x14ac:dyDescent="0.2">
      <c r="A20" s="9" t="s">
        <v>20</v>
      </c>
      <c r="B20" s="166"/>
      <c r="C20" s="145"/>
      <c r="D20" s="145"/>
      <c r="E20" s="146"/>
      <c r="F20" s="128"/>
      <c r="G20" s="2"/>
      <c r="H20" s="2"/>
      <c r="I20" s="2"/>
    </row>
    <row r="21" spans="1:27" ht="15.75" customHeight="1" x14ac:dyDescent="0.2">
      <c r="A21" s="10" t="s">
        <v>21</v>
      </c>
      <c r="B21" s="144" t="s">
        <v>206</v>
      </c>
      <c r="C21" s="145"/>
      <c r="D21" s="145"/>
      <c r="E21" s="146"/>
      <c r="F21" s="128"/>
      <c r="G21" s="2"/>
      <c r="H21" s="2"/>
      <c r="I21" s="2"/>
    </row>
    <row r="22" spans="1:27" ht="15.75" customHeight="1" x14ac:dyDescent="0.2">
      <c r="A22" s="4" t="s">
        <v>22</v>
      </c>
      <c r="B22" s="151" t="s">
        <v>205</v>
      </c>
      <c r="C22" s="152"/>
      <c r="D22" s="152"/>
      <c r="E22" s="153"/>
      <c r="F22" s="128"/>
      <c r="G22" s="2"/>
      <c r="H22" s="2"/>
      <c r="I22" s="2"/>
    </row>
    <row r="23" spans="1:27" ht="15.75" customHeight="1" x14ac:dyDescent="0.2">
      <c r="A23" s="4" t="s">
        <v>23</v>
      </c>
      <c r="B23" s="154">
        <v>2205610195</v>
      </c>
      <c r="C23" s="155"/>
      <c r="D23" s="155"/>
      <c r="E23" s="156"/>
      <c r="F23" s="128"/>
      <c r="G23" s="2"/>
      <c r="H23" s="2"/>
      <c r="I23" s="2"/>
    </row>
    <row r="24" spans="1:27" ht="15.75" customHeight="1" x14ac:dyDescent="0.2">
      <c r="A24" s="4" t="s">
        <v>24</v>
      </c>
      <c r="B24" s="144"/>
      <c r="C24" s="145"/>
      <c r="D24" s="145"/>
      <c r="E24" s="146"/>
      <c r="F24" s="128"/>
      <c r="G24" s="2"/>
      <c r="H24" s="2"/>
      <c r="I24" s="2"/>
    </row>
    <row r="25" spans="1:27" ht="15.75" customHeight="1" x14ac:dyDescent="0.2">
      <c r="A25" s="4" t="s">
        <v>25</v>
      </c>
      <c r="B25" s="157"/>
      <c r="C25" s="148"/>
      <c r="D25" s="148"/>
      <c r="E25" s="140"/>
      <c r="F25" s="128"/>
      <c r="G25" s="2"/>
      <c r="H25" s="2"/>
      <c r="I25" s="2"/>
    </row>
    <row r="26" spans="1:27" ht="15.75" customHeight="1" x14ac:dyDescent="0.2">
      <c r="A26" s="10" t="s">
        <v>26</v>
      </c>
      <c r="B26" s="158"/>
      <c r="C26" s="148"/>
      <c r="D26" s="148"/>
      <c r="E26" s="140"/>
      <c r="F26" s="132"/>
      <c r="G26" s="11"/>
    </row>
    <row r="27" spans="1:27" ht="15.75" customHeight="1" x14ac:dyDescent="0.2">
      <c r="A27" s="4" t="s">
        <v>27</v>
      </c>
      <c r="B27" s="147"/>
      <c r="C27" s="148"/>
      <c r="D27" s="148"/>
      <c r="E27" s="140"/>
      <c r="F27" s="132"/>
      <c r="G27" s="11"/>
    </row>
    <row r="28" spans="1:27" ht="15.75" customHeight="1" x14ac:dyDescent="0.2">
      <c r="A28" s="4" t="s">
        <v>28</v>
      </c>
      <c r="B28" s="147"/>
      <c r="C28" s="148"/>
      <c r="D28" s="148"/>
      <c r="E28" s="140"/>
      <c r="F28" s="128"/>
      <c r="G28" s="2"/>
    </row>
    <row r="29" spans="1:27" ht="15.75" customHeight="1" x14ac:dyDescent="0.2">
      <c r="A29" s="4" t="s">
        <v>29</v>
      </c>
      <c r="B29" s="147"/>
      <c r="C29" s="148"/>
      <c r="D29" s="148"/>
      <c r="E29" s="140"/>
      <c r="F29" s="128"/>
      <c r="G29" s="2"/>
    </row>
    <row r="30" spans="1:27" ht="15.75" customHeight="1" x14ac:dyDescent="0.2">
      <c r="A30" s="4" t="s">
        <v>30</v>
      </c>
      <c r="B30" s="144"/>
      <c r="C30" s="145"/>
      <c r="D30" s="145"/>
      <c r="E30" s="146"/>
      <c r="F30" s="128"/>
      <c r="G30" s="2"/>
    </row>
    <row r="31" spans="1:27" ht="15.75" customHeight="1" x14ac:dyDescent="0.2">
      <c r="A31" s="4" t="s">
        <v>24</v>
      </c>
      <c r="B31" s="147"/>
      <c r="C31" s="148"/>
      <c r="D31" s="148"/>
      <c r="E31" s="140"/>
      <c r="F31" s="128"/>
      <c r="G31" s="2"/>
    </row>
    <row r="32" spans="1:27" ht="15.75" customHeight="1" x14ac:dyDescent="0.2">
      <c r="A32" s="4" t="s">
        <v>25</v>
      </c>
      <c r="B32" s="147"/>
      <c r="C32" s="148"/>
      <c r="D32" s="148"/>
      <c r="E32" s="140"/>
      <c r="F32" s="128"/>
      <c r="G32" s="2"/>
    </row>
    <row r="33" spans="1:27" ht="15.75" customHeight="1" x14ac:dyDescent="0.2">
      <c r="A33" s="9" t="s">
        <v>31</v>
      </c>
      <c r="B33" s="147"/>
      <c r="C33" s="148"/>
      <c r="D33" s="148"/>
      <c r="E33" s="140"/>
      <c r="F33" s="128"/>
      <c r="G33" s="2"/>
      <c r="H33" s="2"/>
      <c r="I33" s="2"/>
      <c r="J33" s="8"/>
      <c r="K33" s="8"/>
      <c r="L33" s="8"/>
      <c r="M33" s="8"/>
      <c r="N33" s="8"/>
      <c r="O33" s="8"/>
      <c r="P33" s="8"/>
      <c r="Q33" s="8"/>
      <c r="R33" s="8"/>
      <c r="S33" s="8"/>
      <c r="T33" s="8"/>
      <c r="U33" s="8"/>
      <c r="V33" s="8"/>
      <c r="W33" s="8"/>
      <c r="X33" s="8"/>
      <c r="Y33" s="8"/>
      <c r="Z33" s="8"/>
      <c r="AA33" s="8"/>
    </row>
    <row r="34" spans="1:27" ht="15.75" customHeight="1" x14ac:dyDescent="0.2">
      <c r="A34" s="12" t="s">
        <v>12</v>
      </c>
      <c r="B34" s="147"/>
      <c r="C34" s="148"/>
      <c r="D34" s="148"/>
      <c r="E34" s="140"/>
      <c r="F34" s="128"/>
      <c r="G34" s="2"/>
      <c r="H34" s="2"/>
      <c r="I34" s="2"/>
      <c r="J34" s="8"/>
      <c r="K34" s="8"/>
      <c r="L34" s="8"/>
      <c r="M34" s="8"/>
      <c r="N34" s="8"/>
      <c r="O34" s="8"/>
      <c r="P34" s="8"/>
      <c r="Q34" s="8"/>
      <c r="R34" s="8"/>
      <c r="S34" s="8"/>
      <c r="T34" s="8"/>
      <c r="U34" s="8"/>
      <c r="V34" s="8"/>
      <c r="W34" s="8"/>
      <c r="X34" s="8"/>
      <c r="Y34" s="8"/>
      <c r="Z34" s="8"/>
      <c r="AA34" s="8"/>
    </row>
    <row r="35" spans="1:27" ht="15.75" customHeight="1" x14ac:dyDescent="0.2">
      <c r="A35" s="12" t="s">
        <v>32</v>
      </c>
      <c r="B35" s="147"/>
      <c r="C35" s="148"/>
      <c r="D35" s="148"/>
      <c r="E35" s="140"/>
      <c r="F35" s="128"/>
      <c r="G35" s="2"/>
      <c r="H35" s="2"/>
      <c r="I35" s="2"/>
      <c r="J35" s="8"/>
      <c r="K35" s="8"/>
      <c r="L35" s="8"/>
      <c r="M35" s="8"/>
      <c r="N35" s="8"/>
      <c r="O35" s="8"/>
      <c r="P35" s="8"/>
      <c r="Q35" s="8"/>
      <c r="R35" s="8"/>
      <c r="S35" s="8"/>
      <c r="T35" s="8"/>
      <c r="U35" s="8"/>
      <c r="V35" s="8"/>
      <c r="W35" s="8"/>
      <c r="X35" s="8"/>
      <c r="Y35" s="8"/>
      <c r="Z35" s="8"/>
      <c r="AA35" s="8"/>
    </row>
    <row r="36" spans="1:27" ht="15.75" customHeight="1" x14ac:dyDescent="0.2">
      <c r="A36" s="12" t="s">
        <v>33</v>
      </c>
      <c r="B36" s="147"/>
      <c r="C36" s="148"/>
      <c r="D36" s="148"/>
      <c r="E36" s="140"/>
      <c r="F36" s="128"/>
      <c r="G36" s="2"/>
      <c r="H36" s="2"/>
      <c r="I36" s="2"/>
      <c r="J36" s="8"/>
      <c r="K36" s="8"/>
      <c r="L36" s="8"/>
      <c r="M36" s="8"/>
      <c r="N36" s="8"/>
      <c r="O36" s="8"/>
      <c r="P36" s="8"/>
      <c r="Q36" s="8"/>
      <c r="R36" s="8"/>
      <c r="S36" s="8"/>
      <c r="T36" s="8"/>
      <c r="U36" s="8"/>
      <c r="V36" s="8"/>
      <c r="W36" s="8"/>
      <c r="X36" s="8"/>
      <c r="Y36" s="8"/>
      <c r="Z36" s="8"/>
      <c r="AA36" s="8"/>
    </row>
    <row r="37" spans="1:27" ht="15.75" customHeight="1" x14ac:dyDescent="0.2">
      <c r="A37" s="149" t="s">
        <v>34</v>
      </c>
      <c r="B37" s="148"/>
      <c r="C37" s="148"/>
      <c r="D37" s="148"/>
      <c r="E37" s="140"/>
      <c r="F37" s="128"/>
      <c r="G37" s="2"/>
      <c r="H37" s="2"/>
      <c r="I37" s="2"/>
    </row>
    <row r="38" spans="1:27" ht="15.75" customHeight="1" x14ac:dyDescent="0.2">
      <c r="A38" s="150" t="s">
        <v>35</v>
      </c>
      <c r="B38" s="140"/>
      <c r="C38" s="13" t="s">
        <v>36</v>
      </c>
      <c r="D38" s="13" t="s">
        <v>37</v>
      </c>
      <c r="E38" s="13" t="s">
        <v>38</v>
      </c>
      <c r="F38" s="128"/>
      <c r="G38" s="2"/>
      <c r="H38" s="2"/>
      <c r="I38" s="2"/>
    </row>
    <row r="39" spans="1:27" ht="15.75" customHeight="1" x14ac:dyDescent="0.2">
      <c r="A39" s="139" t="s">
        <v>209</v>
      </c>
      <c r="B39" s="140"/>
      <c r="C39" s="14">
        <v>1725057648</v>
      </c>
      <c r="D39" s="14" t="s">
        <v>212</v>
      </c>
      <c r="E39" s="136" t="s">
        <v>213</v>
      </c>
      <c r="F39" s="128"/>
      <c r="G39" s="2"/>
      <c r="H39" s="2"/>
      <c r="I39" s="2"/>
    </row>
    <row r="40" spans="1:27" ht="15.75" customHeight="1" x14ac:dyDescent="0.2">
      <c r="A40" s="141"/>
      <c r="B40" s="140"/>
      <c r="C40" s="14"/>
      <c r="D40" s="14"/>
      <c r="E40" s="15"/>
      <c r="F40" s="128"/>
      <c r="G40" s="2"/>
      <c r="H40" s="2"/>
      <c r="I40" s="2"/>
    </row>
    <row r="41" spans="1:27" ht="15.75" customHeight="1" x14ac:dyDescent="0.2">
      <c r="A41" s="141"/>
      <c r="B41" s="140"/>
      <c r="C41" s="14"/>
      <c r="D41" s="14"/>
      <c r="E41" s="15"/>
      <c r="F41" s="128"/>
      <c r="G41" s="2"/>
      <c r="H41" s="2"/>
      <c r="I41" s="2"/>
    </row>
    <row r="42" spans="1:27" ht="15.75" customHeight="1" x14ac:dyDescent="0.2">
      <c r="A42" s="16"/>
      <c r="B42" s="142"/>
      <c r="C42" s="143"/>
      <c r="D42" s="143"/>
      <c r="E42" s="143"/>
      <c r="F42" s="128"/>
      <c r="G42" s="2"/>
      <c r="H42" s="2"/>
      <c r="I42" s="2"/>
    </row>
    <row r="43" spans="1:27" ht="45" x14ac:dyDescent="0.2">
      <c r="A43" s="17" t="s">
        <v>39</v>
      </c>
      <c r="B43" s="17" t="s">
        <v>40</v>
      </c>
      <c r="C43" s="18" t="s">
        <v>41</v>
      </c>
      <c r="D43" s="17" t="s">
        <v>42</v>
      </c>
      <c r="E43" s="19" t="s">
        <v>43</v>
      </c>
      <c r="F43" s="17" t="s">
        <v>44</v>
      </c>
      <c r="G43" s="17" t="s">
        <v>45</v>
      </c>
      <c r="H43" s="19" t="s">
        <v>46</v>
      </c>
      <c r="I43" s="19" t="s">
        <v>47</v>
      </c>
    </row>
    <row r="44" spans="1:27" ht="15.75" customHeight="1" x14ac:dyDescent="0.2">
      <c r="A44" s="26" t="s">
        <v>209</v>
      </c>
      <c r="B44" s="20"/>
      <c r="C44" s="21" t="s">
        <v>48</v>
      </c>
      <c r="D44" s="22">
        <v>16</v>
      </c>
      <c r="E44" s="23" t="s">
        <v>215</v>
      </c>
      <c r="F44" s="126"/>
      <c r="G44" s="27"/>
      <c r="H44" s="25"/>
      <c r="I44" s="24"/>
    </row>
    <row r="45" spans="1:27" ht="15.75" customHeight="1" x14ac:dyDescent="0.2">
      <c r="A45" s="26"/>
      <c r="B45" s="20"/>
      <c r="C45" s="21"/>
      <c r="D45" s="22"/>
      <c r="E45" s="23"/>
      <c r="F45" s="134"/>
      <c r="G45" s="27"/>
      <c r="H45" s="25"/>
      <c r="I45" s="24"/>
    </row>
    <row r="46" spans="1:27" ht="15.75" customHeight="1" x14ac:dyDescent="0.2">
      <c r="A46" s="26"/>
      <c r="B46" s="20"/>
      <c r="C46" s="21"/>
      <c r="D46" s="22"/>
      <c r="E46" s="23"/>
      <c r="F46" s="134"/>
      <c r="G46" s="27"/>
      <c r="H46" s="25"/>
      <c r="I46" s="24"/>
    </row>
    <row r="47" spans="1:27" ht="15.75" customHeight="1" x14ac:dyDescent="0.2">
      <c r="A47" s="26"/>
      <c r="B47" s="20"/>
      <c r="C47" s="21"/>
      <c r="D47" s="22"/>
      <c r="E47" s="23"/>
      <c r="F47" s="134"/>
      <c r="G47" s="27"/>
      <c r="H47" s="25"/>
      <c r="I47" s="24"/>
    </row>
    <row r="48" spans="1:27" ht="15.75" customHeight="1" x14ac:dyDescent="0.2">
      <c r="A48" s="26"/>
      <c r="B48" s="28"/>
      <c r="C48" s="21"/>
      <c r="D48" s="22"/>
      <c r="E48" s="23"/>
      <c r="F48" s="134"/>
      <c r="G48" s="27"/>
      <c r="H48" s="25"/>
      <c r="I48" s="24" t="s">
        <v>49</v>
      </c>
    </row>
    <row r="49" spans="1:9" ht="15.75" customHeight="1" x14ac:dyDescent="0.2">
      <c r="A49" s="26"/>
      <c r="B49" s="28"/>
      <c r="C49" s="21"/>
      <c r="D49" s="22"/>
      <c r="E49" s="23"/>
      <c r="F49" s="134"/>
      <c r="G49" s="27"/>
      <c r="H49" s="25"/>
      <c r="I49" s="24" t="s">
        <v>49</v>
      </c>
    </row>
    <row r="50" spans="1:9" ht="15.75" customHeight="1" x14ac:dyDescent="0.2">
      <c r="A50" s="26"/>
      <c r="B50" s="28"/>
      <c r="C50" s="21"/>
      <c r="D50" s="22"/>
      <c r="E50" s="23"/>
      <c r="F50" s="134"/>
      <c r="G50" s="27"/>
      <c r="H50" s="25"/>
      <c r="I50" s="24" t="s">
        <v>49</v>
      </c>
    </row>
    <row r="51" spans="1:9" ht="15.75" customHeight="1" x14ac:dyDescent="0.2">
      <c r="A51" s="26"/>
      <c r="B51" s="20"/>
      <c r="C51" s="21"/>
      <c r="D51" s="22"/>
      <c r="E51" s="23"/>
      <c r="F51" s="134"/>
      <c r="G51" s="27"/>
      <c r="H51" s="25"/>
      <c r="I51" s="24" t="s">
        <v>49</v>
      </c>
    </row>
    <row r="52" spans="1:9" ht="15.75" customHeight="1" x14ac:dyDescent="0.2">
      <c r="A52" s="26"/>
      <c r="B52" s="28"/>
      <c r="C52" s="21"/>
      <c r="D52" s="22"/>
      <c r="E52" s="23"/>
      <c r="F52" s="134"/>
      <c r="G52" s="27"/>
      <c r="H52" s="25"/>
      <c r="I52" s="24" t="s">
        <v>49</v>
      </c>
    </row>
    <row r="53" spans="1:9" ht="15.75" customHeight="1" x14ac:dyDescent="0.2">
      <c r="A53" s="26"/>
      <c r="B53" s="28"/>
      <c r="C53" s="21"/>
      <c r="D53" s="22"/>
      <c r="E53" s="23"/>
      <c r="F53" s="134"/>
      <c r="G53" s="27"/>
      <c r="H53" s="25"/>
      <c r="I53" s="24" t="s">
        <v>49</v>
      </c>
    </row>
    <row r="54" spans="1:9" ht="15.75" customHeight="1" x14ac:dyDescent="0.2">
      <c r="A54" s="26"/>
      <c r="B54" s="28"/>
      <c r="C54" s="21"/>
      <c r="D54" s="22"/>
      <c r="E54" s="23"/>
      <c r="F54" s="134" t="s">
        <v>49</v>
      </c>
      <c r="G54" s="27"/>
      <c r="H54" s="25"/>
      <c r="I54" s="24" t="s">
        <v>49</v>
      </c>
    </row>
    <row r="55" spans="1:9" ht="15.75" customHeight="1" x14ac:dyDescent="0.2">
      <c r="A55" s="26"/>
      <c r="B55" s="28"/>
      <c r="C55" s="21"/>
      <c r="D55" s="22"/>
      <c r="E55" s="23"/>
      <c r="F55" s="134" t="s">
        <v>49</v>
      </c>
      <c r="G55" s="27"/>
      <c r="H55" s="25"/>
      <c r="I55" s="24" t="s">
        <v>49</v>
      </c>
    </row>
    <row r="56" spans="1:9" ht="15.75" customHeight="1" x14ac:dyDescent="0.2">
      <c r="A56" s="26"/>
      <c r="B56" s="28"/>
      <c r="C56" s="21"/>
      <c r="D56" s="22"/>
      <c r="E56" s="29"/>
      <c r="F56" s="134" t="s">
        <v>49</v>
      </c>
      <c r="G56" s="27"/>
      <c r="H56" s="25"/>
      <c r="I56" s="24" t="s">
        <v>49</v>
      </c>
    </row>
    <row r="57" spans="1:9" ht="15.75" customHeight="1" x14ac:dyDescent="0.2">
      <c r="A57" s="30"/>
      <c r="B57" s="28"/>
      <c r="C57" s="21"/>
      <c r="D57" s="22"/>
      <c r="E57" s="29"/>
      <c r="F57" s="134" t="s">
        <v>49</v>
      </c>
      <c r="G57" s="27"/>
      <c r="H57" s="25"/>
      <c r="I57" s="24" t="s">
        <v>49</v>
      </c>
    </row>
    <row r="58" spans="1:9" ht="15.75" customHeight="1" x14ac:dyDescent="0.2">
      <c r="A58" s="26"/>
      <c r="B58" s="137"/>
      <c r="C58" s="21"/>
      <c r="D58" s="22"/>
      <c r="E58" s="23"/>
      <c r="F58" s="134"/>
      <c r="G58" s="27"/>
      <c r="H58" s="25"/>
      <c r="I58" s="24" t="s">
        <v>49</v>
      </c>
    </row>
    <row r="59" spans="1:9" ht="15.75" customHeight="1" x14ac:dyDescent="0.2">
      <c r="A59" s="26"/>
      <c r="B59" s="138"/>
      <c r="C59" s="21"/>
      <c r="D59" s="22"/>
      <c r="E59" s="23"/>
      <c r="F59" s="134" t="s">
        <v>49</v>
      </c>
      <c r="G59" s="27"/>
      <c r="H59" s="25"/>
      <c r="I59" s="24" t="s">
        <v>49</v>
      </c>
    </row>
    <row r="60" spans="1:9" ht="15.75" customHeight="1" x14ac:dyDescent="0.2">
      <c r="A60" s="26"/>
      <c r="B60" s="137"/>
      <c r="C60" s="21"/>
      <c r="D60" s="22"/>
      <c r="E60" s="31"/>
      <c r="F60" s="134" t="s">
        <v>49</v>
      </c>
      <c r="G60" s="27"/>
      <c r="H60" s="25"/>
      <c r="I60" s="24" t="s">
        <v>49</v>
      </c>
    </row>
    <row r="61" spans="1:9" ht="15.75" customHeight="1" x14ac:dyDescent="0.2">
      <c r="A61" s="26"/>
      <c r="B61" s="137"/>
      <c r="C61" s="21"/>
      <c r="D61" s="22"/>
      <c r="E61" s="31"/>
      <c r="F61" s="134" t="s">
        <v>49</v>
      </c>
      <c r="G61" s="27"/>
      <c r="H61" s="25"/>
      <c r="I61" s="24" t="s">
        <v>49</v>
      </c>
    </row>
    <row r="62" spans="1:9" ht="15.75" customHeight="1" x14ac:dyDescent="0.2">
      <c r="A62" s="30"/>
      <c r="B62" s="28"/>
      <c r="C62" s="29"/>
      <c r="D62" s="22"/>
      <c r="E62" s="29"/>
      <c r="F62" s="134" t="s">
        <v>49</v>
      </c>
      <c r="G62" s="27"/>
      <c r="H62" s="25"/>
      <c r="I62" s="24" t="s">
        <v>49</v>
      </c>
    </row>
    <row r="63" spans="1:9" ht="15.75" customHeight="1" x14ac:dyDescent="0.2">
      <c r="A63" s="30"/>
      <c r="B63" s="30"/>
      <c r="C63" s="29"/>
      <c r="D63" s="22"/>
      <c r="E63" s="29"/>
      <c r="F63" s="134" t="s">
        <v>49</v>
      </c>
      <c r="G63" s="27"/>
      <c r="H63" s="25"/>
      <c r="I63" s="24" t="s">
        <v>49</v>
      </c>
    </row>
    <row r="64" spans="1:9" ht="15.75" customHeight="1" x14ac:dyDescent="0.2">
      <c r="A64" s="32"/>
      <c r="B64" s="30"/>
      <c r="C64" s="29"/>
      <c r="D64" s="22"/>
      <c r="E64" s="29"/>
      <c r="F64" s="134" t="s">
        <v>49</v>
      </c>
      <c r="G64" s="27"/>
      <c r="H64" s="25"/>
      <c r="I64" s="24" t="s">
        <v>49</v>
      </c>
    </row>
    <row r="65" spans="1:9" ht="15.75" customHeight="1" x14ac:dyDescent="0.2">
      <c r="A65" s="32"/>
      <c r="B65" s="30"/>
      <c r="C65" s="29"/>
      <c r="D65" s="22"/>
      <c r="E65" s="29"/>
      <c r="F65" s="134" t="s">
        <v>49</v>
      </c>
      <c r="G65" s="27"/>
      <c r="H65" s="25"/>
      <c r="I65" s="24" t="s">
        <v>49</v>
      </c>
    </row>
    <row r="66" spans="1:9" ht="15.75" customHeight="1" x14ac:dyDescent="0.2">
      <c r="A66" s="32"/>
      <c r="B66" s="30"/>
      <c r="C66" s="29"/>
      <c r="D66" s="22"/>
      <c r="E66" s="29"/>
      <c r="F66" s="134" t="s">
        <v>49</v>
      </c>
      <c r="G66" s="27"/>
      <c r="H66" s="25"/>
      <c r="I66" s="24" t="s">
        <v>49</v>
      </c>
    </row>
    <row r="67" spans="1:9" ht="15.75" customHeight="1" x14ac:dyDescent="0.2">
      <c r="A67" s="32"/>
      <c r="B67" s="30"/>
      <c r="C67" s="29"/>
      <c r="D67" s="22"/>
      <c r="E67" s="29"/>
      <c r="F67" s="134" t="s">
        <v>49</v>
      </c>
      <c r="G67" s="27"/>
      <c r="H67" s="25"/>
      <c r="I67" s="24" t="s">
        <v>49</v>
      </c>
    </row>
    <row r="68" spans="1:9" ht="15.75" customHeight="1" x14ac:dyDescent="0.2">
      <c r="A68" s="32"/>
      <c r="B68" s="30"/>
      <c r="C68" s="29"/>
      <c r="D68" s="22"/>
      <c r="E68" s="29"/>
      <c r="F68" s="134" t="s">
        <v>49</v>
      </c>
      <c r="G68" s="27"/>
      <c r="H68" s="25"/>
      <c r="I68" s="24" t="s">
        <v>49</v>
      </c>
    </row>
    <row r="69" spans="1:9" ht="15.75" customHeight="1" x14ac:dyDescent="0.2">
      <c r="A69" s="33"/>
      <c r="B69" s="33"/>
      <c r="C69" s="29"/>
      <c r="D69" s="22"/>
      <c r="E69" s="34"/>
      <c r="F69" s="134" t="s">
        <v>49</v>
      </c>
      <c r="G69" s="27"/>
      <c r="H69" s="25"/>
      <c r="I69" s="24" t="s">
        <v>49</v>
      </c>
    </row>
    <row r="70" spans="1:9" ht="15.75" customHeight="1" x14ac:dyDescent="0.2">
      <c r="A70" s="33"/>
      <c r="B70" s="33"/>
      <c r="C70" s="29"/>
      <c r="D70" s="22"/>
      <c r="E70" s="34"/>
      <c r="F70" s="134" t="s">
        <v>49</v>
      </c>
      <c r="G70" s="27"/>
      <c r="H70" s="25"/>
      <c r="I70" s="24" t="s">
        <v>49</v>
      </c>
    </row>
    <row r="71" spans="1:9" ht="15.75" customHeight="1" x14ac:dyDescent="0.2">
      <c r="A71" s="33"/>
      <c r="B71" s="33"/>
      <c r="C71" s="29"/>
      <c r="D71" s="22"/>
      <c r="E71" s="34"/>
      <c r="F71" s="134" t="s">
        <v>49</v>
      </c>
      <c r="G71" s="27"/>
      <c r="H71" s="25"/>
      <c r="I71" s="24" t="s">
        <v>49</v>
      </c>
    </row>
    <row r="72" spans="1:9" ht="15.75" customHeight="1" x14ac:dyDescent="0.2">
      <c r="A72" s="33"/>
      <c r="B72" s="33"/>
      <c r="C72" s="29"/>
      <c r="D72" s="22"/>
      <c r="E72" s="34"/>
      <c r="F72" s="134" t="s">
        <v>49</v>
      </c>
      <c r="G72" s="27"/>
      <c r="H72" s="25"/>
      <c r="I72" s="24" t="s">
        <v>49</v>
      </c>
    </row>
    <row r="73" spans="1:9" ht="15.75" customHeight="1" x14ac:dyDescent="0.2">
      <c r="A73" s="33"/>
      <c r="B73" s="33"/>
      <c r="C73" s="29"/>
      <c r="D73" s="22"/>
      <c r="E73" s="34"/>
      <c r="F73" s="134" t="s">
        <v>49</v>
      </c>
      <c r="G73" s="27"/>
      <c r="H73" s="25"/>
      <c r="I73" s="24" t="s">
        <v>49</v>
      </c>
    </row>
    <row r="74" spans="1:9" ht="15.75" customHeight="1" x14ac:dyDescent="0.2">
      <c r="A74" s="33"/>
      <c r="B74" s="33"/>
      <c r="C74" s="29"/>
      <c r="D74" s="22"/>
      <c r="E74" s="34"/>
      <c r="F74" s="134" t="s">
        <v>49</v>
      </c>
      <c r="G74" s="27"/>
      <c r="H74" s="25"/>
      <c r="I74" s="24" t="s">
        <v>49</v>
      </c>
    </row>
    <row r="75" spans="1:9" ht="15.75" customHeight="1" x14ac:dyDescent="0.2">
      <c r="A75" s="33"/>
      <c r="B75" s="33"/>
      <c r="C75" s="29"/>
      <c r="D75" s="22"/>
      <c r="E75" s="34"/>
      <c r="F75" s="134" t="s">
        <v>49</v>
      </c>
      <c r="G75" s="27"/>
      <c r="H75" s="25"/>
      <c r="I75" s="24" t="s">
        <v>49</v>
      </c>
    </row>
    <row r="76" spans="1:9" ht="15.75" customHeight="1" x14ac:dyDescent="0.2">
      <c r="A76" s="33"/>
      <c r="B76" s="33"/>
      <c r="C76" s="29"/>
      <c r="D76" s="22"/>
      <c r="E76" s="34"/>
      <c r="F76" s="134" t="s">
        <v>49</v>
      </c>
      <c r="G76" s="27"/>
      <c r="H76" s="35"/>
      <c r="I76" s="24" t="s">
        <v>49</v>
      </c>
    </row>
    <row r="77" spans="1:9" ht="15.75" customHeight="1" x14ac:dyDescent="0.2">
      <c r="F77" s="135"/>
      <c r="G77" s="36"/>
      <c r="H77" s="37"/>
      <c r="I77" s="38"/>
    </row>
    <row r="78" spans="1:9" ht="15.75" customHeight="1" x14ac:dyDescent="0.2">
      <c r="F78" s="135"/>
      <c r="G78" s="36"/>
      <c r="H78" s="37"/>
      <c r="I78" s="38"/>
    </row>
    <row r="79" spans="1:9" ht="15.75" customHeight="1" x14ac:dyDescent="0.2">
      <c r="F79" s="135"/>
      <c r="G79" s="36"/>
      <c r="H79" s="37"/>
      <c r="I79" s="38"/>
    </row>
    <row r="80" spans="1:9" ht="15.75" customHeight="1" x14ac:dyDescent="0.2">
      <c r="F80" s="135"/>
      <c r="G80" s="36"/>
      <c r="H80" s="37"/>
      <c r="I80" s="38"/>
    </row>
    <row r="81" spans="6:9" ht="15.75" customHeight="1" x14ac:dyDescent="0.2">
      <c r="F81" s="135"/>
      <c r="G81" s="36"/>
      <c r="H81" s="37"/>
      <c r="I81" s="38"/>
    </row>
    <row r="82" spans="6:9" ht="15.75" customHeight="1" x14ac:dyDescent="0.2">
      <c r="F82" s="135"/>
      <c r="G82" s="36"/>
      <c r="H82" s="37"/>
      <c r="I82" s="38"/>
    </row>
    <row r="83" spans="6:9" ht="15.75" customHeight="1" x14ac:dyDescent="0.2">
      <c r="F83" s="135"/>
      <c r="G83" s="36"/>
      <c r="H83" s="37"/>
      <c r="I83" s="38"/>
    </row>
    <row r="84" spans="6:9" ht="15.75" customHeight="1" x14ac:dyDescent="0.2">
      <c r="F84" s="135"/>
      <c r="G84" s="36"/>
      <c r="H84" s="37"/>
      <c r="I84" s="38"/>
    </row>
    <row r="85" spans="6:9" ht="15.75" customHeight="1" x14ac:dyDescent="0.2">
      <c r="F85" s="135"/>
      <c r="G85" s="36"/>
      <c r="H85" s="37"/>
      <c r="I85" s="38"/>
    </row>
    <row r="86" spans="6:9" ht="15.75" customHeight="1" x14ac:dyDescent="0.2">
      <c r="F86" s="135"/>
      <c r="G86" s="36"/>
      <c r="H86" s="37"/>
      <c r="I86" s="38"/>
    </row>
    <row r="87" spans="6:9" ht="15.75" customHeight="1" x14ac:dyDescent="0.2">
      <c r="F87" s="135"/>
      <c r="G87" s="36"/>
      <c r="H87" s="37"/>
      <c r="I87" s="38"/>
    </row>
    <row r="88" spans="6:9" ht="15.75" customHeight="1" x14ac:dyDescent="0.2">
      <c r="F88" s="135"/>
      <c r="G88" s="36"/>
      <c r="H88" s="37"/>
      <c r="I88" s="38"/>
    </row>
    <row r="89" spans="6:9" ht="15.75" customHeight="1" x14ac:dyDescent="0.2">
      <c r="F89" s="135"/>
      <c r="G89" s="36"/>
      <c r="H89" s="37"/>
      <c r="I89" s="38"/>
    </row>
    <row r="90" spans="6:9" ht="15.75" customHeight="1" x14ac:dyDescent="0.2">
      <c r="F90" s="135"/>
      <c r="G90" s="36"/>
      <c r="H90" s="37"/>
      <c r="I90" s="38"/>
    </row>
    <row r="91" spans="6:9" ht="15.75" customHeight="1" x14ac:dyDescent="0.2">
      <c r="F91" s="135"/>
      <c r="G91" s="36"/>
      <c r="H91" s="37"/>
      <c r="I91" s="38"/>
    </row>
    <row r="92" spans="6:9" ht="15.75" customHeight="1" x14ac:dyDescent="0.2">
      <c r="F92" s="135"/>
      <c r="G92" s="36"/>
      <c r="H92" s="37"/>
      <c r="I92" s="38"/>
    </row>
    <row r="93" spans="6:9" ht="15.75" customHeight="1" x14ac:dyDescent="0.2">
      <c r="F93" s="135"/>
      <c r="G93" s="36"/>
      <c r="H93" s="37"/>
      <c r="I93" s="38"/>
    </row>
    <row r="94" spans="6:9" ht="15.75" customHeight="1" x14ac:dyDescent="0.2">
      <c r="F94" s="135"/>
      <c r="G94" s="36"/>
      <c r="H94" s="37"/>
      <c r="I94" s="38"/>
    </row>
    <row r="95" spans="6:9" ht="15.75" customHeight="1" x14ac:dyDescent="0.2">
      <c r="F95" s="135"/>
      <c r="G95" s="36"/>
      <c r="H95" s="37"/>
      <c r="I95" s="38"/>
    </row>
    <row r="96" spans="6:9" ht="15.75" customHeight="1" x14ac:dyDescent="0.2">
      <c r="F96" s="135"/>
      <c r="G96" s="36"/>
      <c r="H96" s="37"/>
      <c r="I96" s="38"/>
    </row>
    <row r="97" spans="6:9" ht="15.75" customHeight="1" x14ac:dyDescent="0.2">
      <c r="F97" s="135"/>
      <c r="G97" s="36"/>
      <c r="H97" s="37"/>
      <c r="I97" s="38"/>
    </row>
    <row r="98" spans="6:9" ht="15.75" customHeight="1" x14ac:dyDescent="0.2">
      <c r="F98" s="135"/>
      <c r="G98" s="36"/>
      <c r="H98" s="37"/>
      <c r="I98" s="38"/>
    </row>
    <row r="99" spans="6:9" ht="15.75" customHeight="1" x14ac:dyDescent="0.2">
      <c r="F99" s="135"/>
      <c r="G99" s="36"/>
      <c r="H99" s="37"/>
      <c r="I99" s="38"/>
    </row>
    <row r="100" spans="6:9" ht="15.75" customHeight="1" x14ac:dyDescent="0.2">
      <c r="F100" s="135"/>
      <c r="G100" s="36"/>
      <c r="H100" s="37"/>
      <c r="I100" s="38"/>
    </row>
    <row r="101" spans="6:9" ht="15.75" customHeight="1" x14ac:dyDescent="0.2">
      <c r="F101" s="135"/>
      <c r="G101" s="36"/>
      <c r="H101" s="37"/>
      <c r="I101" s="38"/>
    </row>
    <row r="102" spans="6:9" ht="15.75" customHeight="1" x14ac:dyDescent="0.2">
      <c r="F102" s="135"/>
      <c r="G102" s="36"/>
      <c r="H102" s="37"/>
      <c r="I102" s="38"/>
    </row>
    <row r="103" spans="6:9" ht="15.75" customHeight="1" x14ac:dyDescent="0.2">
      <c r="F103" s="135"/>
      <c r="G103" s="36"/>
      <c r="H103" s="37"/>
      <c r="I103" s="38"/>
    </row>
    <row r="104" spans="6:9" ht="15.75" customHeight="1" x14ac:dyDescent="0.2">
      <c r="F104" s="135"/>
      <c r="G104" s="36"/>
      <c r="H104" s="37"/>
      <c r="I104" s="38"/>
    </row>
    <row r="105" spans="6:9" ht="15.75" customHeight="1" x14ac:dyDescent="0.2">
      <c r="F105" s="135"/>
      <c r="G105" s="36"/>
      <c r="H105" s="37"/>
      <c r="I105" s="38"/>
    </row>
    <row r="106" spans="6:9" ht="15.75" customHeight="1" x14ac:dyDescent="0.2">
      <c r="F106" s="135"/>
      <c r="G106" s="36"/>
      <c r="H106" s="37"/>
      <c r="I106" s="38"/>
    </row>
    <row r="107" spans="6:9" ht="15.75" customHeight="1" x14ac:dyDescent="0.2">
      <c r="F107" s="135"/>
      <c r="G107" s="36"/>
      <c r="H107" s="37"/>
      <c r="I107" s="38"/>
    </row>
    <row r="108" spans="6:9" ht="15.75" customHeight="1" x14ac:dyDescent="0.2">
      <c r="F108" s="135"/>
      <c r="G108" s="36"/>
      <c r="H108" s="37"/>
      <c r="I108" s="38"/>
    </row>
    <row r="109" spans="6:9" ht="15.75" customHeight="1" x14ac:dyDescent="0.2">
      <c r="F109" s="135"/>
      <c r="G109" s="36"/>
      <c r="H109" s="37"/>
      <c r="I109" s="38"/>
    </row>
    <row r="110" spans="6:9" ht="15.75" customHeight="1" x14ac:dyDescent="0.2">
      <c r="F110" s="135"/>
      <c r="G110" s="36"/>
      <c r="H110" s="37"/>
      <c r="I110" s="38"/>
    </row>
    <row r="111" spans="6:9" ht="15.75" customHeight="1" x14ac:dyDescent="0.2">
      <c r="F111" s="135"/>
      <c r="G111" s="36"/>
      <c r="H111" s="37"/>
      <c r="I111" s="38"/>
    </row>
    <row r="112" spans="6:9" ht="15.75" customHeight="1" x14ac:dyDescent="0.2">
      <c r="F112" s="135"/>
      <c r="G112" s="36"/>
      <c r="H112" s="37"/>
      <c r="I112" s="38"/>
    </row>
    <row r="113" spans="6:9" ht="15.75" customHeight="1" x14ac:dyDescent="0.2">
      <c r="F113" s="135"/>
      <c r="G113" s="36"/>
      <c r="H113" s="37"/>
      <c r="I113" s="38"/>
    </row>
    <row r="114" spans="6:9" ht="15.75" customHeight="1" x14ac:dyDescent="0.2">
      <c r="F114" s="135"/>
      <c r="G114" s="36"/>
      <c r="H114" s="37"/>
      <c r="I114" s="38"/>
    </row>
    <row r="115" spans="6:9" ht="15.75" customHeight="1" x14ac:dyDescent="0.2">
      <c r="F115" s="135"/>
      <c r="G115" s="36"/>
      <c r="H115" s="37"/>
      <c r="I115" s="38"/>
    </row>
    <row r="116" spans="6:9" ht="15.75" customHeight="1" x14ac:dyDescent="0.2">
      <c r="F116" s="135"/>
      <c r="G116" s="36"/>
      <c r="H116" s="37"/>
      <c r="I116" s="38"/>
    </row>
    <row r="117" spans="6:9" ht="15.75" customHeight="1" x14ac:dyDescent="0.2">
      <c r="F117" s="135"/>
      <c r="G117" s="36"/>
      <c r="H117" s="37"/>
      <c r="I117" s="38"/>
    </row>
    <row r="118" spans="6:9" ht="15.75" customHeight="1" x14ac:dyDescent="0.2">
      <c r="F118" s="135"/>
      <c r="G118" s="36"/>
      <c r="H118" s="37"/>
      <c r="I118" s="38"/>
    </row>
    <row r="119" spans="6:9" ht="15.75" customHeight="1" x14ac:dyDescent="0.2">
      <c r="F119" s="135"/>
      <c r="G119" s="36"/>
      <c r="H119" s="37"/>
      <c r="I119" s="38"/>
    </row>
    <row r="120" spans="6:9" ht="15.75" customHeight="1" x14ac:dyDescent="0.2">
      <c r="F120" s="135"/>
      <c r="G120" s="36"/>
      <c r="H120" s="37"/>
      <c r="I120" s="38"/>
    </row>
    <row r="121" spans="6:9" ht="15.75" customHeight="1" x14ac:dyDescent="0.2">
      <c r="F121" s="135"/>
      <c r="G121" s="36"/>
      <c r="H121" s="37"/>
      <c r="I121" s="38"/>
    </row>
    <row r="122" spans="6:9" ht="15.75" customHeight="1" x14ac:dyDescent="0.2">
      <c r="F122" s="135"/>
      <c r="G122" s="36"/>
      <c r="H122" s="37"/>
      <c r="I122" s="38"/>
    </row>
    <row r="123" spans="6:9" ht="15.75" customHeight="1" x14ac:dyDescent="0.2">
      <c r="F123" s="135"/>
      <c r="G123" s="36"/>
      <c r="H123" s="37"/>
      <c r="I123" s="38"/>
    </row>
    <row r="124" spans="6:9" ht="15.75" customHeight="1" x14ac:dyDescent="0.2">
      <c r="F124" s="135"/>
      <c r="G124" s="36"/>
      <c r="H124" s="37"/>
      <c r="I124" s="38"/>
    </row>
    <row r="125" spans="6:9" ht="15.75" customHeight="1" x14ac:dyDescent="0.2">
      <c r="F125" s="135"/>
      <c r="G125" s="36"/>
      <c r="H125" s="37"/>
      <c r="I125" s="38"/>
    </row>
    <row r="126" spans="6:9" ht="15.75" customHeight="1" x14ac:dyDescent="0.2">
      <c r="F126" s="135"/>
      <c r="G126" s="36"/>
      <c r="H126" s="37"/>
      <c r="I126" s="38"/>
    </row>
    <row r="127" spans="6:9" ht="15.75" customHeight="1" x14ac:dyDescent="0.2">
      <c r="F127" s="135"/>
      <c r="G127" s="36"/>
      <c r="H127" s="37"/>
      <c r="I127" s="38"/>
    </row>
    <row r="128" spans="6:9" ht="15.75" customHeight="1" x14ac:dyDescent="0.2">
      <c r="F128" s="135"/>
      <c r="G128" s="36"/>
      <c r="H128" s="37"/>
      <c r="I128" s="38"/>
    </row>
    <row r="129" spans="6:9" ht="15.75" customHeight="1" x14ac:dyDescent="0.2">
      <c r="F129" s="135"/>
      <c r="G129" s="36"/>
      <c r="H129" s="37"/>
      <c r="I129" s="38"/>
    </row>
    <row r="130" spans="6:9" ht="15.75" customHeight="1" x14ac:dyDescent="0.2">
      <c r="F130" s="135"/>
      <c r="G130" s="36"/>
      <c r="H130" s="37"/>
      <c r="I130" s="38"/>
    </row>
    <row r="131" spans="6:9" ht="15.75" customHeight="1" x14ac:dyDescent="0.2">
      <c r="F131" s="135"/>
      <c r="G131" s="36"/>
      <c r="H131" s="37"/>
      <c r="I131" s="38"/>
    </row>
    <row r="132" spans="6:9" ht="15.75" customHeight="1" x14ac:dyDescent="0.2">
      <c r="F132" s="135"/>
      <c r="G132" s="36"/>
      <c r="H132" s="37"/>
      <c r="I132" s="38"/>
    </row>
    <row r="133" spans="6:9" ht="15.75" customHeight="1" x14ac:dyDescent="0.2">
      <c r="F133" s="135"/>
      <c r="G133" s="36"/>
      <c r="H133" s="37"/>
      <c r="I133" s="38"/>
    </row>
    <row r="134" spans="6:9" ht="15.75" customHeight="1" x14ac:dyDescent="0.2">
      <c r="F134" s="135"/>
      <c r="G134" s="36"/>
      <c r="H134" s="37"/>
      <c r="I134" s="38"/>
    </row>
    <row r="135" spans="6:9" ht="15.75" customHeight="1" x14ac:dyDescent="0.2">
      <c r="F135" s="135"/>
      <c r="G135" s="36"/>
      <c r="H135" s="37"/>
      <c r="I135" s="38"/>
    </row>
    <row r="136" spans="6:9" ht="15.75" customHeight="1" x14ac:dyDescent="0.2">
      <c r="F136" s="135"/>
      <c r="G136" s="36"/>
      <c r="H136" s="37"/>
      <c r="I136" s="38"/>
    </row>
    <row r="137" spans="6:9" ht="15.75" customHeight="1" x14ac:dyDescent="0.2">
      <c r="F137" s="135"/>
      <c r="G137" s="36"/>
      <c r="H137" s="37"/>
      <c r="I137" s="38"/>
    </row>
    <row r="138" spans="6:9" ht="15.75" customHeight="1" x14ac:dyDescent="0.2">
      <c r="F138" s="135"/>
      <c r="G138" s="36"/>
      <c r="H138" s="37"/>
      <c r="I138" s="38"/>
    </row>
    <row r="139" spans="6:9" ht="15.75" customHeight="1" x14ac:dyDescent="0.2">
      <c r="F139" s="135"/>
      <c r="G139" s="36"/>
      <c r="H139" s="37"/>
      <c r="I139" s="38"/>
    </row>
    <row r="140" spans="6:9" ht="15.75" customHeight="1" x14ac:dyDescent="0.2">
      <c r="F140" s="135"/>
      <c r="G140" s="36"/>
      <c r="H140" s="37"/>
      <c r="I140" s="38"/>
    </row>
    <row r="141" spans="6:9" ht="15.75" customHeight="1" x14ac:dyDescent="0.2">
      <c r="F141" s="135"/>
      <c r="G141" s="36"/>
      <c r="H141" s="37"/>
      <c r="I141" s="38"/>
    </row>
    <row r="142" spans="6:9" ht="15.75" customHeight="1" x14ac:dyDescent="0.2">
      <c r="F142" s="135"/>
      <c r="G142" s="36"/>
      <c r="H142" s="37"/>
      <c r="I142" s="38"/>
    </row>
    <row r="143" spans="6:9" ht="15.75" customHeight="1" x14ac:dyDescent="0.2">
      <c r="F143" s="135"/>
      <c r="G143" s="36"/>
      <c r="H143" s="37"/>
      <c r="I143" s="38"/>
    </row>
    <row r="144" spans="6:9" ht="15.75" customHeight="1" x14ac:dyDescent="0.2">
      <c r="F144" s="135"/>
      <c r="G144" s="36"/>
      <c r="H144" s="37"/>
      <c r="I144" s="38"/>
    </row>
    <row r="145" spans="6:9" ht="15.75" customHeight="1" x14ac:dyDescent="0.2">
      <c r="F145" s="135"/>
      <c r="G145" s="36"/>
      <c r="H145" s="37"/>
      <c r="I145" s="38"/>
    </row>
    <row r="146" spans="6:9" ht="15.75" customHeight="1" x14ac:dyDescent="0.2">
      <c r="F146" s="135"/>
      <c r="G146" s="36"/>
      <c r="H146" s="37"/>
      <c r="I146" s="38"/>
    </row>
    <row r="147" spans="6:9" ht="15.75" customHeight="1" x14ac:dyDescent="0.2">
      <c r="F147" s="135"/>
      <c r="G147" s="36"/>
      <c r="H147" s="37"/>
      <c r="I147" s="38"/>
    </row>
    <row r="148" spans="6:9" ht="15.75" customHeight="1" x14ac:dyDescent="0.2">
      <c r="F148" s="135"/>
      <c r="G148" s="36"/>
      <c r="H148" s="37"/>
      <c r="I148" s="38"/>
    </row>
    <row r="149" spans="6:9" ht="15.75" customHeight="1" x14ac:dyDescent="0.2">
      <c r="F149" s="135"/>
      <c r="G149" s="36"/>
      <c r="H149" s="37"/>
      <c r="I149" s="38"/>
    </row>
    <row r="150" spans="6:9" ht="15.75" customHeight="1" x14ac:dyDescent="0.2">
      <c r="F150" s="135"/>
      <c r="G150" s="36"/>
      <c r="H150" s="37"/>
      <c r="I150" s="38"/>
    </row>
    <row r="151" spans="6:9" ht="15.75" customHeight="1" x14ac:dyDescent="0.2">
      <c r="F151" s="135"/>
      <c r="G151" s="36"/>
      <c r="H151" s="37"/>
      <c r="I151" s="38"/>
    </row>
    <row r="152" spans="6:9" ht="15.75" customHeight="1" x14ac:dyDescent="0.2">
      <c r="F152" s="135"/>
      <c r="G152" s="36"/>
      <c r="H152" s="37"/>
      <c r="I152" s="38"/>
    </row>
    <row r="153" spans="6:9" ht="15.75" customHeight="1" x14ac:dyDescent="0.2">
      <c r="F153" s="135"/>
      <c r="G153" s="36"/>
      <c r="H153" s="37"/>
      <c r="I153" s="38"/>
    </row>
    <row r="154" spans="6:9" ht="15.75" customHeight="1" x14ac:dyDescent="0.2">
      <c r="F154" s="135"/>
      <c r="G154" s="36"/>
      <c r="H154" s="37"/>
      <c r="I154" s="38"/>
    </row>
    <row r="155" spans="6:9" ht="15.75" customHeight="1" x14ac:dyDescent="0.2">
      <c r="F155" s="135"/>
      <c r="G155" s="36"/>
      <c r="H155" s="37"/>
      <c r="I155" s="38"/>
    </row>
    <row r="156" spans="6:9" ht="15.75" customHeight="1" x14ac:dyDescent="0.2">
      <c r="F156" s="135"/>
      <c r="G156" s="36"/>
      <c r="H156" s="37"/>
      <c r="I156" s="38"/>
    </row>
    <row r="157" spans="6:9" ht="15.75" customHeight="1" x14ac:dyDescent="0.2">
      <c r="F157" s="135"/>
      <c r="G157" s="36"/>
      <c r="H157" s="37"/>
      <c r="I157" s="38"/>
    </row>
    <row r="158" spans="6:9" ht="15.75" customHeight="1" x14ac:dyDescent="0.2">
      <c r="F158" s="135"/>
      <c r="G158" s="36"/>
      <c r="H158" s="37"/>
      <c r="I158" s="38"/>
    </row>
    <row r="159" spans="6:9" ht="15.75" customHeight="1" x14ac:dyDescent="0.2">
      <c r="F159" s="135"/>
      <c r="G159" s="36"/>
      <c r="H159" s="37"/>
      <c r="I159" s="38"/>
    </row>
    <row r="160" spans="6:9" ht="15.75" customHeight="1" x14ac:dyDescent="0.2">
      <c r="F160" s="135"/>
      <c r="G160" s="36"/>
      <c r="H160" s="37"/>
      <c r="I160" s="38"/>
    </row>
    <row r="161" spans="6:9" ht="15.75" customHeight="1" x14ac:dyDescent="0.2">
      <c r="F161" s="135"/>
      <c r="G161" s="36"/>
      <c r="H161" s="37"/>
      <c r="I161" s="38"/>
    </row>
    <row r="162" spans="6:9" ht="15.75" customHeight="1" x14ac:dyDescent="0.2">
      <c r="F162" s="135"/>
      <c r="G162" s="36"/>
      <c r="H162" s="37"/>
      <c r="I162" s="38"/>
    </row>
    <row r="163" spans="6:9" ht="15.75" customHeight="1" x14ac:dyDescent="0.2">
      <c r="F163" s="135"/>
      <c r="G163" s="36"/>
      <c r="H163" s="37"/>
      <c r="I163" s="38"/>
    </row>
    <row r="164" spans="6:9" ht="15.75" customHeight="1" x14ac:dyDescent="0.2">
      <c r="F164" s="135"/>
      <c r="G164" s="36"/>
      <c r="H164" s="37"/>
      <c r="I164" s="38"/>
    </row>
    <row r="165" spans="6:9" ht="15.75" customHeight="1" x14ac:dyDescent="0.2">
      <c r="F165" s="135"/>
      <c r="G165" s="36"/>
      <c r="H165" s="37"/>
      <c r="I165" s="38"/>
    </row>
    <row r="166" spans="6:9" ht="15.75" customHeight="1" x14ac:dyDescent="0.2">
      <c r="F166" s="135"/>
      <c r="G166" s="36"/>
      <c r="H166" s="37"/>
      <c r="I166" s="38"/>
    </row>
    <row r="167" spans="6:9" ht="15.75" customHeight="1" x14ac:dyDescent="0.2">
      <c r="F167" s="135"/>
      <c r="G167" s="36"/>
      <c r="H167" s="37"/>
      <c r="I167" s="38"/>
    </row>
    <row r="168" spans="6:9" ht="15.75" customHeight="1" x14ac:dyDescent="0.2">
      <c r="F168" s="135"/>
      <c r="G168" s="36"/>
      <c r="H168" s="37"/>
      <c r="I168" s="38"/>
    </row>
    <row r="169" spans="6:9" ht="15.75" customHeight="1" x14ac:dyDescent="0.2">
      <c r="F169" s="135"/>
      <c r="G169" s="36"/>
      <c r="H169" s="37"/>
      <c r="I169" s="38"/>
    </row>
    <row r="170" spans="6:9" ht="15.75" customHeight="1" x14ac:dyDescent="0.2">
      <c r="F170" s="135"/>
      <c r="G170" s="36"/>
      <c r="H170" s="37"/>
      <c r="I170" s="38"/>
    </row>
    <row r="171" spans="6:9" ht="15.75" customHeight="1" x14ac:dyDescent="0.2">
      <c r="F171" s="135"/>
      <c r="G171" s="36"/>
      <c r="H171" s="37"/>
      <c r="I171" s="38"/>
    </row>
    <row r="172" spans="6:9" ht="15.75" customHeight="1" x14ac:dyDescent="0.2">
      <c r="F172" s="135"/>
      <c r="G172" s="36"/>
      <c r="H172" s="37"/>
      <c r="I172" s="38"/>
    </row>
    <row r="173" spans="6:9" ht="15.75" customHeight="1" x14ac:dyDescent="0.2">
      <c r="F173" s="135"/>
      <c r="G173" s="36"/>
      <c r="H173" s="37"/>
      <c r="I173" s="38"/>
    </row>
    <row r="174" spans="6:9" ht="15.75" customHeight="1" x14ac:dyDescent="0.2">
      <c r="F174" s="135"/>
      <c r="G174" s="36"/>
      <c r="H174" s="37"/>
      <c r="I174" s="38"/>
    </row>
    <row r="175" spans="6:9" ht="15.75" customHeight="1" x14ac:dyDescent="0.2">
      <c r="F175" s="135"/>
      <c r="G175" s="36"/>
      <c r="H175" s="37"/>
      <c r="I175" s="38"/>
    </row>
    <row r="176" spans="6:9" ht="15.75" customHeight="1" x14ac:dyDescent="0.2">
      <c r="F176" s="135"/>
      <c r="G176" s="36"/>
      <c r="H176" s="37"/>
      <c r="I176" s="38"/>
    </row>
    <row r="177" spans="6:9" ht="15.75" customHeight="1" x14ac:dyDescent="0.2">
      <c r="F177" s="135"/>
      <c r="G177" s="36"/>
      <c r="H177" s="37"/>
      <c r="I177" s="38"/>
    </row>
    <row r="178" spans="6:9" ht="15.75" customHeight="1" x14ac:dyDescent="0.2">
      <c r="F178" s="135"/>
      <c r="G178" s="36"/>
      <c r="H178" s="37"/>
      <c r="I178" s="38"/>
    </row>
    <row r="179" spans="6:9" ht="15.75" customHeight="1" x14ac:dyDescent="0.2">
      <c r="F179" s="135"/>
      <c r="G179" s="36"/>
      <c r="H179" s="37"/>
      <c r="I179" s="38"/>
    </row>
    <row r="180" spans="6:9" ht="15.75" customHeight="1" x14ac:dyDescent="0.2">
      <c r="F180" s="135"/>
      <c r="G180" s="36"/>
      <c r="H180" s="37"/>
      <c r="I180" s="38"/>
    </row>
    <row r="181" spans="6:9" ht="15.75" customHeight="1" x14ac:dyDescent="0.2">
      <c r="F181" s="135"/>
      <c r="G181" s="36"/>
      <c r="H181" s="37"/>
      <c r="I181" s="38"/>
    </row>
    <row r="182" spans="6:9" ht="15.75" customHeight="1" x14ac:dyDescent="0.2">
      <c r="F182" s="135"/>
      <c r="G182" s="36"/>
      <c r="H182" s="37"/>
      <c r="I182" s="38"/>
    </row>
    <row r="183" spans="6:9" ht="15.75" customHeight="1" x14ac:dyDescent="0.2">
      <c r="F183" s="135"/>
      <c r="G183" s="36"/>
      <c r="H183" s="37"/>
      <c r="I183" s="38"/>
    </row>
    <row r="184" spans="6:9" ht="15.75" customHeight="1" x14ac:dyDescent="0.2">
      <c r="F184" s="135"/>
      <c r="G184" s="36"/>
      <c r="H184" s="37"/>
      <c r="I184" s="38"/>
    </row>
    <row r="185" spans="6:9" ht="15.75" customHeight="1" x14ac:dyDescent="0.2">
      <c r="F185" s="135"/>
      <c r="G185" s="36"/>
      <c r="H185" s="37"/>
      <c r="I185" s="38"/>
    </row>
    <row r="186" spans="6:9" ht="15.75" customHeight="1" x14ac:dyDescent="0.2">
      <c r="F186" s="135"/>
      <c r="G186" s="36"/>
      <c r="H186" s="37"/>
      <c r="I186" s="38"/>
    </row>
    <row r="187" spans="6:9" ht="15.75" customHeight="1" x14ac:dyDescent="0.2">
      <c r="F187" s="135"/>
      <c r="G187" s="36"/>
      <c r="H187" s="37"/>
      <c r="I187" s="38"/>
    </row>
    <row r="188" spans="6:9" ht="15.75" customHeight="1" x14ac:dyDescent="0.2">
      <c r="F188" s="135"/>
      <c r="G188" s="36"/>
      <c r="H188" s="37"/>
      <c r="I188" s="38"/>
    </row>
    <row r="189" spans="6:9" ht="15.75" customHeight="1" x14ac:dyDescent="0.2">
      <c r="F189" s="135"/>
      <c r="G189" s="36"/>
      <c r="H189" s="37"/>
      <c r="I189" s="38"/>
    </row>
    <row r="190" spans="6:9" ht="15.75" customHeight="1" x14ac:dyDescent="0.2">
      <c r="F190" s="135"/>
      <c r="G190" s="36"/>
      <c r="H190" s="37"/>
      <c r="I190" s="38"/>
    </row>
    <row r="191" spans="6:9" ht="15.75" customHeight="1" x14ac:dyDescent="0.2">
      <c r="F191" s="135"/>
      <c r="G191" s="36"/>
      <c r="H191" s="37"/>
      <c r="I191" s="38"/>
    </row>
    <row r="192" spans="6:9" ht="15.75" customHeight="1" x14ac:dyDescent="0.2">
      <c r="F192" s="135"/>
      <c r="G192" s="36"/>
      <c r="H192" s="37"/>
      <c r="I192" s="38"/>
    </row>
    <row r="193" spans="6:9" ht="15.75" customHeight="1" x14ac:dyDescent="0.2">
      <c r="F193" s="135"/>
      <c r="G193" s="36"/>
      <c r="H193" s="37"/>
      <c r="I193" s="38"/>
    </row>
    <row r="194" spans="6:9" ht="15.75" customHeight="1" x14ac:dyDescent="0.2">
      <c r="F194" s="135"/>
      <c r="G194" s="36"/>
      <c r="H194" s="37"/>
      <c r="I194" s="38"/>
    </row>
    <row r="195" spans="6:9" ht="15.75" customHeight="1" x14ac:dyDescent="0.2">
      <c r="F195" s="135"/>
      <c r="G195" s="36"/>
      <c r="H195" s="37"/>
      <c r="I195" s="38"/>
    </row>
    <row r="196" spans="6:9" ht="15.75" customHeight="1" x14ac:dyDescent="0.2">
      <c r="F196" s="135"/>
      <c r="G196" s="36"/>
      <c r="H196" s="37"/>
      <c r="I196" s="38"/>
    </row>
    <row r="197" spans="6:9" ht="15.75" customHeight="1" x14ac:dyDescent="0.2">
      <c r="F197" s="135"/>
      <c r="G197" s="36"/>
      <c r="H197" s="37"/>
      <c r="I197" s="38"/>
    </row>
    <row r="198" spans="6:9" ht="15.75" customHeight="1" x14ac:dyDescent="0.2">
      <c r="F198" s="135"/>
      <c r="G198" s="36"/>
      <c r="H198" s="37"/>
      <c r="I198" s="38"/>
    </row>
    <row r="199" spans="6:9" ht="15.75" customHeight="1" x14ac:dyDescent="0.2">
      <c r="F199" s="135"/>
      <c r="G199" s="36"/>
      <c r="H199" s="37"/>
      <c r="I199" s="38"/>
    </row>
    <row r="200" spans="6:9" ht="15.75" customHeight="1" x14ac:dyDescent="0.2">
      <c r="F200" s="135"/>
      <c r="G200" s="36"/>
      <c r="H200" s="37"/>
      <c r="I200" s="38"/>
    </row>
    <row r="201" spans="6:9" ht="15.75" customHeight="1" x14ac:dyDescent="0.2">
      <c r="F201" s="135"/>
      <c r="G201" s="36"/>
      <c r="H201" s="37"/>
      <c r="I201" s="38"/>
    </row>
    <row r="202" spans="6:9" ht="15.75" customHeight="1" x14ac:dyDescent="0.2">
      <c r="F202" s="135"/>
      <c r="G202" s="36"/>
      <c r="H202" s="37"/>
      <c r="I202" s="38"/>
    </row>
    <row r="203" spans="6:9" ht="15.75" customHeight="1" x14ac:dyDescent="0.2">
      <c r="F203" s="135"/>
      <c r="G203" s="36"/>
      <c r="H203" s="37"/>
      <c r="I203" s="38"/>
    </row>
    <row r="204" spans="6:9" ht="15.75" customHeight="1" x14ac:dyDescent="0.2">
      <c r="F204" s="135"/>
      <c r="G204" s="36"/>
      <c r="H204" s="37"/>
      <c r="I204" s="38"/>
    </row>
    <row r="205" spans="6:9" ht="15.75" customHeight="1" x14ac:dyDescent="0.2">
      <c r="F205" s="135"/>
      <c r="G205" s="36"/>
      <c r="H205" s="37"/>
      <c r="I205" s="38"/>
    </row>
    <row r="206" spans="6:9" ht="15.75" customHeight="1" x14ac:dyDescent="0.2">
      <c r="F206" s="135"/>
      <c r="G206" s="36"/>
      <c r="H206" s="37"/>
      <c r="I206" s="38"/>
    </row>
    <row r="207" spans="6:9" ht="15.75" customHeight="1" x14ac:dyDescent="0.2">
      <c r="F207" s="135"/>
      <c r="G207" s="36"/>
      <c r="H207" s="37"/>
      <c r="I207" s="38"/>
    </row>
    <row r="208" spans="6:9" ht="15.75" customHeight="1" x14ac:dyDescent="0.2">
      <c r="F208" s="135"/>
      <c r="G208" s="36"/>
      <c r="H208" s="37"/>
      <c r="I208" s="38"/>
    </row>
    <row r="209" spans="6:9" ht="15.75" customHeight="1" x14ac:dyDescent="0.2">
      <c r="F209" s="135"/>
      <c r="G209" s="36"/>
      <c r="H209" s="37"/>
      <c r="I209" s="38"/>
    </row>
    <row r="210" spans="6:9" ht="15.75" customHeight="1" x14ac:dyDescent="0.2">
      <c r="F210" s="135"/>
      <c r="G210" s="36"/>
      <c r="H210" s="37"/>
      <c r="I210" s="38"/>
    </row>
    <row r="211" spans="6:9" ht="15.75" customHeight="1" x14ac:dyDescent="0.2">
      <c r="F211" s="135"/>
      <c r="G211" s="36"/>
      <c r="H211" s="37"/>
      <c r="I211" s="38"/>
    </row>
    <row r="212" spans="6:9" ht="15.75" customHeight="1" x14ac:dyDescent="0.2">
      <c r="F212" s="135"/>
      <c r="G212" s="36"/>
      <c r="H212" s="37"/>
      <c r="I212" s="38"/>
    </row>
    <row r="213" spans="6:9" ht="15.75" customHeight="1" x14ac:dyDescent="0.2">
      <c r="F213" s="135"/>
      <c r="G213" s="36"/>
      <c r="H213" s="37"/>
      <c r="I213" s="38"/>
    </row>
    <row r="214" spans="6:9" ht="15.75" customHeight="1" x14ac:dyDescent="0.2">
      <c r="F214" s="135"/>
      <c r="G214" s="36"/>
      <c r="H214" s="37"/>
      <c r="I214" s="38"/>
    </row>
    <row r="215" spans="6:9" ht="15.75" customHeight="1" x14ac:dyDescent="0.2">
      <c r="F215" s="135"/>
      <c r="G215" s="36"/>
      <c r="H215" s="37"/>
      <c r="I215" s="38"/>
    </row>
    <row r="216" spans="6:9" ht="15.75" customHeight="1" x14ac:dyDescent="0.2">
      <c r="F216" s="135"/>
      <c r="G216" s="36"/>
      <c r="H216" s="37"/>
      <c r="I216" s="38"/>
    </row>
    <row r="217" spans="6:9" ht="15.75" customHeight="1" x14ac:dyDescent="0.2">
      <c r="F217" s="135"/>
      <c r="G217" s="36"/>
      <c r="H217" s="37"/>
      <c r="I217" s="38"/>
    </row>
    <row r="218" spans="6:9" ht="15.75" customHeight="1" x14ac:dyDescent="0.2">
      <c r="F218" s="135"/>
      <c r="G218" s="36"/>
      <c r="H218" s="37"/>
      <c r="I218" s="38"/>
    </row>
    <row r="219" spans="6:9" ht="15.75" customHeight="1" x14ac:dyDescent="0.2">
      <c r="F219" s="135"/>
      <c r="G219" s="36"/>
      <c r="H219" s="37"/>
      <c r="I219" s="38"/>
    </row>
    <row r="220" spans="6:9" ht="15.75" customHeight="1" x14ac:dyDescent="0.2">
      <c r="F220" s="135"/>
      <c r="G220" s="36"/>
      <c r="H220" s="37"/>
      <c r="I220" s="38"/>
    </row>
    <row r="221" spans="6:9" ht="15.75" customHeight="1" x14ac:dyDescent="0.2">
      <c r="F221" s="135"/>
      <c r="G221" s="36"/>
      <c r="H221" s="37"/>
      <c r="I221" s="38"/>
    </row>
    <row r="222" spans="6:9" ht="15.75" customHeight="1" x14ac:dyDescent="0.2">
      <c r="F222" s="135"/>
      <c r="G222" s="36"/>
      <c r="H222" s="37"/>
      <c r="I222" s="38"/>
    </row>
    <row r="223" spans="6:9" ht="15.75" customHeight="1" x14ac:dyDescent="0.2">
      <c r="F223" s="135"/>
      <c r="G223" s="36"/>
      <c r="H223" s="37"/>
      <c r="I223" s="38"/>
    </row>
    <row r="224" spans="6:9" ht="15.75" customHeight="1" x14ac:dyDescent="0.2">
      <c r="F224" s="135"/>
      <c r="G224" s="36"/>
      <c r="H224" s="37"/>
      <c r="I224" s="38"/>
    </row>
    <row r="225" spans="6:9" ht="15.75" customHeight="1" x14ac:dyDescent="0.2">
      <c r="F225" s="135"/>
      <c r="G225" s="36"/>
      <c r="H225" s="37"/>
      <c r="I225" s="38"/>
    </row>
    <row r="226" spans="6:9" ht="15.75" customHeight="1" x14ac:dyDescent="0.2">
      <c r="F226" s="135"/>
      <c r="G226" s="36"/>
      <c r="H226" s="37"/>
      <c r="I226" s="38"/>
    </row>
    <row r="227" spans="6:9" ht="15.75" customHeight="1" x14ac:dyDescent="0.2">
      <c r="F227" s="135"/>
      <c r="G227" s="36"/>
      <c r="H227" s="37"/>
      <c r="I227" s="38"/>
    </row>
    <row r="228" spans="6:9" ht="15.75" customHeight="1" x14ac:dyDescent="0.2">
      <c r="F228" s="135"/>
      <c r="G228" s="36"/>
      <c r="H228" s="37"/>
      <c r="I228" s="38"/>
    </row>
    <row r="229" spans="6:9" ht="15.75" customHeight="1" x14ac:dyDescent="0.2">
      <c r="F229" s="135"/>
      <c r="G229" s="36"/>
      <c r="H229" s="37"/>
      <c r="I229" s="38"/>
    </row>
    <row r="230" spans="6:9" ht="15.75" customHeight="1" x14ac:dyDescent="0.2">
      <c r="F230" s="135"/>
      <c r="G230" s="36"/>
      <c r="H230" s="37"/>
      <c r="I230" s="38"/>
    </row>
    <row r="231" spans="6:9" ht="15.75" customHeight="1" x14ac:dyDescent="0.2">
      <c r="F231" s="135"/>
      <c r="G231" s="36"/>
      <c r="H231" s="37"/>
      <c r="I231" s="38"/>
    </row>
    <row r="232" spans="6:9" ht="15.75" customHeight="1" x14ac:dyDescent="0.2">
      <c r="F232" s="135"/>
      <c r="G232" s="36"/>
      <c r="H232" s="37"/>
      <c r="I232" s="38"/>
    </row>
    <row r="233" spans="6:9" ht="15.75" customHeight="1" x14ac:dyDescent="0.2">
      <c r="F233" s="135"/>
      <c r="G233" s="36"/>
      <c r="H233" s="37"/>
      <c r="I233" s="38"/>
    </row>
    <row r="234" spans="6:9" ht="15.75" customHeight="1" x14ac:dyDescent="0.2">
      <c r="F234" s="135"/>
      <c r="G234" s="36"/>
      <c r="H234" s="37"/>
      <c r="I234" s="38"/>
    </row>
    <row r="235" spans="6:9" ht="15.75" customHeight="1" x14ac:dyDescent="0.2">
      <c r="F235" s="135"/>
      <c r="G235" s="36"/>
      <c r="H235" s="37"/>
      <c r="I235" s="38"/>
    </row>
    <row r="236" spans="6:9" ht="15.75" customHeight="1" x14ac:dyDescent="0.2">
      <c r="F236" s="135"/>
      <c r="G236" s="36"/>
      <c r="H236" s="37"/>
      <c r="I236" s="38"/>
    </row>
    <row r="237" spans="6:9" ht="15.75" customHeight="1" x14ac:dyDescent="0.2">
      <c r="F237" s="135"/>
      <c r="G237" s="36"/>
      <c r="H237" s="37"/>
      <c r="I237" s="38"/>
    </row>
    <row r="238" spans="6:9" ht="15.75" customHeight="1" x14ac:dyDescent="0.2">
      <c r="F238" s="135"/>
      <c r="G238" s="36"/>
      <c r="H238" s="37"/>
      <c r="I238" s="38"/>
    </row>
    <row r="239" spans="6:9" ht="15.75" customHeight="1" x14ac:dyDescent="0.2">
      <c r="F239" s="135"/>
      <c r="G239" s="36"/>
      <c r="H239" s="37"/>
      <c r="I239" s="38"/>
    </row>
    <row r="240" spans="6:9" ht="15.75" customHeight="1" x14ac:dyDescent="0.2">
      <c r="F240" s="135"/>
      <c r="G240" s="36"/>
      <c r="H240" s="37"/>
      <c r="I240" s="38"/>
    </row>
    <row r="241" spans="6:9" ht="15.75" customHeight="1" x14ac:dyDescent="0.2">
      <c r="F241" s="135"/>
      <c r="G241" s="36"/>
      <c r="H241" s="37"/>
      <c r="I241" s="38"/>
    </row>
    <row r="242" spans="6:9" ht="15.75" customHeight="1" x14ac:dyDescent="0.2">
      <c r="F242" s="135"/>
      <c r="G242" s="36"/>
      <c r="H242" s="37"/>
      <c r="I242" s="38"/>
    </row>
    <row r="243" spans="6:9" ht="15.75" customHeight="1" x14ac:dyDescent="0.2">
      <c r="F243" s="135"/>
      <c r="G243" s="36"/>
      <c r="H243" s="37"/>
      <c r="I243" s="38"/>
    </row>
    <row r="244" spans="6:9" ht="15.75" customHeight="1" x14ac:dyDescent="0.2">
      <c r="F244" s="135"/>
      <c r="G244" s="36"/>
      <c r="H244" s="37"/>
      <c r="I244" s="38"/>
    </row>
    <row r="245" spans="6:9" ht="15.75" customHeight="1" x14ac:dyDescent="0.2">
      <c r="F245" s="135"/>
      <c r="G245" s="36"/>
      <c r="H245" s="37"/>
      <c r="I245" s="38"/>
    </row>
    <row r="246" spans="6:9" ht="15.75" customHeight="1" x14ac:dyDescent="0.2">
      <c r="F246" s="135"/>
      <c r="G246" s="36"/>
      <c r="H246" s="37"/>
      <c r="I246" s="38"/>
    </row>
    <row r="247" spans="6:9" ht="15.75" customHeight="1" x14ac:dyDescent="0.2">
      <c r="F247" s="135"/>
      <c r="G247" s="36"/>
      <c r="H247" s="37"/>
      <c r="I247" s="38"/>
    </row>
    <row r="248" spans="6:9" ht="15.75" customHeight="1" x14ac:dyDescent="0.2">
      <c r="F248" s="135"/>
      <c r="G248" s="36"/>
      <c r="H248" s="37"/>
      <c r="I248" s="38"/>
    </row>
    <row r="249" spans="6:9" ht="15.75" customHeight="1" x14ac:dyDescent="0.2">
      <c r="F249" s="135"/>
      <c r="G249" s="36"/>
      <c r="H249" s="37"/>
      <c r="I249" s="38"/>
    </row>
    <row r="250" spans="6:9" ht="15.75" customHeight="1" x14ac:dyDescent="0.2">
      <c r="F250" s="135"/>
      <c r="G250" s="36"/>
      <c r="H250" s="37"/>
      <c r="I250" s="38"/>
    </row>
    <row r="251" spans="6:9" ht="15.75" customHeight="1" x14ac:dyDescent="0.2">
      <c r="F251" s="135"/>
      <c r="G251" s="36"/>
      <c r="H251" s="37"/>
      <c r="I251" s="38"/>
    </row>
    <row r="252" spans="6:9" ht="15.75" customHeight="1" x14ac:dyDescent="0.2">
      <c r="F252" s="135"/>
      <c r="G252" s="36"/>
      <c r="H252" s="37"/>
      <c r="I252" s="38"/>
    </row>
    <row r="253" spans="6:9" ht="15.75" customHeight="1" x14ac:dyDescent="0.2">
      <c r="F253" s="135"/>
      <c r="G253" s="36"/>
      <c r="H253" s="37"/>
      <c r="I253" s="38"/>
    </row>
    <row r="254" spans="6:9" ht="15.75" customHeight="1" x14ac:dyDescent="0.2">
      <c r="F254" s="135"/>
      <c r="G254" s="36"/>
      <c r="H254" s="37"/>
      <c r="I254" s="38"/>
    </row>
    <row r="255" spans="6:9" ht="15.75" customHeight="1" x14ac:dyDescent="0.2">
      <c r="F255" s="135"/>
      <c r="G255" s="36"/>
      <c r="H255" s="37"/>
      <c r="I255" s="38"/>
    </row>
    <row r="256" spans="6:9" ht="15.75" customHeight="1" x14ac:dyDescent="0.2">
      <c r="F256" s="135"/>
      <c r="G256" s="36"/>
      <c r="H256" s="37"/>
      <c r="I256" s="38"/>
    </row>
    <row r="257" spans="6:9" ht="15.75" customHeight="1" x14ac:dyDescent="0.2">
      <c r="F257" s="135"/>
      <c r="G257" s="36"/>
      <c r="H257" s="37"/>
      <c r="I257" s="38"/>
    </row>
    <row r="258" spans="6:9" ht="15.75" customHeight="1" x14ac:dyDescent="0.2">
      <c r="F258" s="135"/>
      <c r="G258" s="36"/>
      <c r="H258" s="37"/>
      <c r="I258" s="38"/>
    </row>
    <row r="259" spans="6:9" ht="15.75" customHeight="1" x14ac:dyDescent="0.2">
      <c r="F259" s="135"/>
      <c r="G259" s="36"/>
      <c r="H259" s="37"/>
      <c r="I259" s="38"/>
    </row>
    <row r="260" spans="6:9" ht="15.75" customHeight="1" x14ac:dyDescent="0.2">
      <c r="F260" s="135"/>
      <c r="G260" s="36"/>
      <c r="H260" s="37"/>
      <c r="I260" s="38"/>
    </row>
    <row r="261" spans="6:9" ht="15.75" customHeight="1" x14ac:dyDescent="0.2">
      <c r="F261" s="135"/>
      <c r="G261" s="36"/>
      <c r="H261" s="37"/>
      <c r="I261" s="38"/>
    </row>
    <row r="262" spans="6:9" ht="15.75" customHeight="1" x14ac:dyDescent="0.2">
      <c r="F262" s="135"/>
      <c r="G262" s="36"/>
      <c r="H262" s="37"/>
      <c r="I262" s="38"/>
    </row>
    <row r="263" spans="6:9" ht="15.75" customHeight="1" x14ac:dyDescent="0.2">
      <c r="F263" s="135"/>
      <c r="G263" s="36"/>
      <c r="H263" s="37"/>
      <c r="I263" s="38"/>
    </row>
    <row r="264" spans="6:9" ht="15.75" customHeight="1" x14ac:dyDescent="0.2">
      <c r="F264" s="135"/>
      <c r="G264" s="36"/>
      <c r="H264" s="37"/>
      <c r="I264" s="38"/>
    </row>
    <row r="265" spans="6:9" ht="15.75" customHeight="1" x14ac:dyDescent="0.2">
      <c r="F265" s="135"/>
      <c r="G265" s="36"/>
      <c r="H265" s="37"/>
      <c r="I265" s="38"/>
    </row>
    <row r="266" spans="6:9" ht="15.75" customHeight="1" x14ac:dyDescent="0.2">
      <c r="F266" s="135"/>
      <c r="G266" s="36"/>
      <c r="H266" s="37"/>
      <c r="I266" s="38"/>
    </row>
    <row r="267" spans="6:9" ht="15.75" customHeight="1" x14ac:dyDescent="0.2">
      <c r="F267" s="135"/>
      <c r="G267" s="36"/>
      <c r="H267" s="37"/>
      <c r="I267" s="38"/>
    </row>
    <row r="268" spans="6:9" ht="15.75" customHeight="1" x14ac:dyDescent="0.2">
      <c r="F268" s="135"/>
      <c r="G268" s="36"/>
      <c r="H268" s="37"/>
      <c r="I268" s="38"/>
    </row>
    <row r="269" spans="6:9" ht="15.75" customHeight="1" x14ac:dyDescent="0.2">
      <c r="F269" s="135"/>
      <c r="G269" s="36"/>
      <c r="H269" s="37"/>
      <c r="I269" s="38"/>
    </row>
    <row r="270" spans="6:9" ht="15.75" customHeight="1" x14ac:dyDescent="0.2">
      <c r="F270" s="135"/>
      <c r="G270" s="36"/>
      <c r="H270" s="37"/>
      <c r="I270" s="38"/>
    </row>
    <row r="271" spans="6:9" ht="15.75" customHeight="1" x14ac:dyDescent="0.2">
      <c r="F271" s="135"/>
      <c r="G271" s="36"/>
      <c r="H271" s="37"/>
      <c r="I271" s="38"/>
    </row>
    <row r="272" spans="6:9" ht="15.75" customHeight="1" x14ac:dyDescent="0.2">
      <c r="F272" s="135"/>
      <c r="G272" s="36"/>
      <c r="H272" s="37"/>
      <c r="I272" s="38"/>
    </row>
    <row r="273" spans="6:9" ht="15.75" customHeight="1" x14ac:dyDescent="0.2">
      <c r="F273" s="135"/>
      <c r="G273" s="36"/>
      <c r="H273" s="37"/>
      <c r="I273" s="38"/>
    </row>
    <row r="274" spans="6:9" ht="15.75" customHeight="1" x14ac:dyDescent="0.2">
      <c r="F274" s="135"/>
      <c r="G274" s="36"/>
      <c r="H274" s="37"/>
      <c r="I274" s="38"/>
    </row>
    <row r="275" spans="6:9" ht="15.75" customHeight="1" x14ac:dyDescent="0.2">
      <c r="F275" s="135"/>
      <c r="G275" s="36"/>
      <c r="H275" s="37"/>
      <c r="I275" s="38"/>
    </row>
    <row r="276" spans="6:9" ht="15.75" customHeight="1" x14ac:dyDescent="0.2">
      <c r="F276" s="135"/>
      <c r="G276" s="36"/>
      <c r="H276" s="37"/>
      <c r="I276" s="38"/>
    </row>
    <row r="277" spans="6:9" ht="15.75" customHeight="1" x14ac:dyDescent="0.2">
      <c r="F277" s="78"/>
      <c r="G277" s="39"/>
    </row>
    <row r="278" spans="6:9" ht="15.75" customHeight="1" x14ac:dyDescent="0.2">
      <c r="F278" s="78"/>
      <c r="G278" s="39"/>
    </row>
    <row r="279" spans="6:9" ht="15.75" customHeight="1" x14ac:dyDescent="0.2">
      <c r="F279" s="78"/>
      <c r="G279" s="39"/>
    </row>
    <row r="280" spans="6:9" ht="15.75" customHeight="1" x14ac:dyDescent="0.2">
      <c r="F280" s="78"/>
      <c r="G280" s="39"/>
    </row>
    <row r="281" spans="6:9" ht="15.75" customHeight="1" x14ac:dyDescent="0.2">
      <c r="F281" s="78"/>
      <c r="G281" s="39"/>
    </row>
    <row r="282" spans="6:9" ht="15.75" customHeight="1" x14ac:dyDescent="0.2">
      <c r="F282" s="78"/>
      <c r="G282" s="39"/>
    </row>
    <row r="283" spans="6:9" ht="15.75" customHeight="1" x14ac:dyDescent="0.2">
      <c r="F283" s="78"/>
      <c r="G283" s="39"/>
    </row>
    <row r="284" spans="6:9" ht="15.75" customHeight="1" x14ac:dyDescent="0.2">
      <c r="F284" s="78"/>
      <c r="G284" s="39"/>
    </row>
    <row r="285" spans="6:9" ht="15.75" customHeight="1" x14ac:dyDescent="0.2">
      <c r="F285" s="78"/>
      <c r="G285" s="39"/>
    </row>
    <row r="286" spans="6:9" ht="15.75" customHeight="1" x14ac:dyDescent="0.2">
      <c r="F286" s="78"/>
      <c r="G286" s="39"/>
    </row>
    <row r="287" spans="6:9" ht="15.75" customHeight="1" x14ac:dyDescent="0.2">
      <c r="F287" s="78"/>
      <c r="G287" s="39"/>
    </row>
    <row r="288" spans="6:9" ht="15.75" customHeight="1" x14ac:dyDescent="0.2">
      <c r="F288" s="78"/>
      <c r="G288" s="39"/>
    </row>
    <row r="289" spans="6:7" ht="15.75" customHeight="1" x14ac:dyDescent="0.2">
      <c r="F289" s="78"/>
      <c r="G289" s="39"/>
    </row>
    <row r="290" spans="6:7" ht="15.75" customHeight="1" x14ac:dyDescent="0.2">
      <c r="F290" s="78"/>
      <c r="G290" s="39"/>
    </row>
    <row r="291" spans="6:7" ht="15.75" customHeight="1" x14ac:dyDescent="0.2">
      <c r="F291" s="78"/>
      <c r="G291" s="39"/>
    </row>
    <row r="292" spans="6:7" ht="15.75" customHeight="1" x14ac:dyDescent="0.2">
      <c r="F292" s="78"/>
      <c r="G292" s="39"/>
    </row>
    <row r="293" spans="6:7" ht="15.75" customHeight="1" x14ac:dyDescent="0.2">
      <c r="F293" s="78"/>
      <c r="G293" s="39"/>
    </row>
    <row r="294" spans="6:7" ht="15.75" customHeight="1" x14ac:dyDescent="0.2">
      <c r="F294" s="78"/>
      <c r="G294" s="39"/>
    </row>
    <row r="295" spans="6:7" ht="15.75" customHeight="1" x14ac:dyDescent="0.2">
      <c r="F295" s="78"/>
      <c r="G295" s="39"/>
    </row>
    <row r="296" spans="6:7" ht="15.75" customHeight="1" x14ac:dyDescent="0.2">
      <c r="F296" s="78"/>
      <c r="G296" s="39"/>
    </row>
    <row r="297" spans="6:7" ht="15.75" customHeight="1" x14ac:dyDescent="0.2">
      <c r="F297" s="78"/>
      <c r="G297" s="39"/>
    </row>
    <row r="298" spans="6:7" ht="15.75" customHeight="1" x14ac:dyDescent="0.2">
      <c r="F298" s="78"/>
      <c r="G298" s="39"/>
    </row>
    <row r="299" spans="6:7" ht="15.75" customHeight="1" x14ac:dyDescent="0.2">
      <c r="F299" s="78"/>
      <c r="G299" s="39"/>
    </row>
    <row r="300" spans="6:7" ht="15.75" customHeight="1" x14ac:dyDescent="0.2">
      <c r="F300" s="78"/>
      <c r="G300" s="39"/>
    </row>
    <row r="301" spans="6:7" ht="15.75" customHeight="1" x14ac:dyDescent="0.2">
      <c r="F301" s="78"/>
      <c r="G301" s="39"/>
    </row>
    <row r="302" spans="6:7" ht="15.75" customHeight="1" x14ac:dyDescent="0.2">
      <c r="F302" s="78"/>
      <c r="G302" s="39"/>
    </row>
    <row r="303" spans="6:7" ht="15.75" customHeight="1" x14ac:dyDescent="0.2">
      <c r="F303" s="78"/>
      <c r="G303" s="39"/>
    </row>
    <row r="304" spans="6:7" ht="15.75" customHeight="1" x14ac:dyDescent="0.2">
      <c r="F304" s="78"/>
      <c r="G304" s="39"/>
    </row>
    <row r="305" spans="6:7" ht="15.75" customHeight="1" x14ac:dyDescent="0.2">
      <c r="F305" s="78"/>
      <c r="G305" s="39"/>
    </row>
    <row r="306" spans="6:7" ht="15.75" customHeight="1" x14ac:dyDescent="0.2">
      <c r="F306" s="78"/>
      <c r="G306" s="39"/>
    </row>
    <row r="307" spans="6:7" ht="15.75" customHeight="1" x14ac:dyDescent="0.2">
      <c r="F307" s="78"/>
      <c r="G307" s="39"/>
    </row>
    <row r="308" spans="6:7" ht="15.75" customHeight="1" x14ac:dyDescent="0.2">
      <c r="F308" s="78"/>
      <c r="G308" s="39"/>
    </row>
    <row r="309" spans="6:7" ht="15.75" customHeight="1" x14ac:dyDescent="0.2">
      <c r="F309" s="78"/>
      <c r="G309" s="39"/>
    </row>
    <row r="310" spans="6:7" ht="15.75" customHeight="1" x14ac:dyDescent="0.2">
      <c r="F310" s="78"/>
      <c r="G310" s="39"/>
    </row>
    <row r="311" spans="6:7" ht="15.75" customHeight="1" x14ac:dyDescent="0.2">
      <c r="F311" s="78"/>
      <c r="G311" s="39"/>
    </row>
    <row r="312" spans="6:7" ht="15.75" customHeight="1" x14ac:dyDescent="0.2">
      <c r="F312" s="78"/>
      <c r="G312" s="39"/>
    </row>
    <row r="313" spans="6:7" ht="15.75" customHeight="1" x14ac:dyDescent="0.2">
      <c r="F313" s="78"/>
      <c r="G313" s="39"/>
    </row>
    <row r="314" spans="6:7" ht="15.75" customHeight="1" x14ac:dyDescent="0.2">
      <c r="F314" s="78"/>
      <c r="G314" s="39"/>
    </row>
    <row r="315" spans="6:7" ht="15.75" customHeight="1" x14ac:dyDescent="0.2">
      <c r="F315" s="78"/>
      <c r="G315" s="39"/>
    </row>
    <row r="316" spans="6:7" ht="15.75" customHeight="1" x14ac:dyDescent="0.2">
      <c r="F316" s="78"/>
      <c r="G316" s="39"/>
    </row>
    <row r="317" spans="6:7" ht="15.75" customHeight="1" x14ac:dyDescent="0.2">
      <c r="F317" s="78"/>
      <c r="G317" s="39"/>
    </row>
    <row r="318" spans="6:7" ht="15.75" customHeight="1" x14ac:dyDescent="0.2">
      <c r="F318" s="78"/>
      <c r="G318" s="39"/>
    </row>
    <row r="319" spans="6:7" ht="15.75" customHeight="1" x14ac:dyDescent="0.2">
      <c r="F319" s="78"/>
      <c r="G319" s="39"/>
    </row>
    <row r="320" spans="6:7" ht="15.75" customHeight="1" x14ac:dyDescent="0.2">
      <c r="F320" s="78"/>
      <c r="G320" s="39"/>
    </row>
    <row r="321" spans="6:7" ht="15.75" customHeight="1" x14ac:dyDescent="0.2">
      <c r="F321" s="78"/>
      <c r="G321" s="39"/>
    </row>
    <row r="322" spans="6:7" ht="15.75" customHeight="1" x14ac:dyDescent="0.2">
      <c r="F322" s="78"/>
      <c r="G322" s="39"/>
    </row>
    <row r="323" spans="6:7" ht="15.75" customHeight="1" x14ac:dyDescent="0.2">
      <c r="F323" s="78"/>
      <c r="G323" s="39"/>
    </row>
    <row r="324" spans="6:7" ht="15.75" customHeight="1" x14ac:dyDescent="0.2">
      <c r="F324" s="78"/>
      <c r="G324" s="39"/>
    </row>
    <row r="325" spans="6:7" ht="15.75" customHeight="1" x14ac:dyDescent="0.2">
      <c r="F325" s="78"/>
      <c r="G325" s="39"/>
    </row>
    <row r="326" spans="6:7" ht="15.75" customHeight="1" x14ac:dyDescent="0.2">
      <c r="F326" s="78"/>
      <c r="G326" s="39"/>
    </row>
    <row r="327" spans="6:7" ht="15.75" customHeight="1" x14ac:dyDescent="0.2">
      <c r="F327" s="78"/>
      <c r="G327" s="39"/>
    </row>
    <row r="328" spans="6:7" ht="15.75" customHeight="1" x14ac:dyDescent="0.2">
      <c r="F328" s="78"/>
      <c r="G328" s="39"/>
    </row>
    <row r="329" spans="6:7" ht="15.75" customHeight="1" x14ac:dyDescent="0.2">
      <c r="F329" s="78"/>
      <c r="G329" s="39"/>
    </row>
    <row r="330" spans="6:7" ht="15.75" customHeight="1" x14ac:dyDescent="0.2">
      <c r="F330" s="78"/>
      <c r="G330" s="39"/>
    </row>
    <row r="331" spans="6:7" ht="15.75" customHeight="1" x14ac:dyDescent="0.2">
      <c r="F331" s="78"/>
      <c r="G331" s="39"/>
    </row>
    <row r="332" spans="6:7" ht="15.75" customHeight="1" x14ac:dyDescent="0.2">
      <c r="F332" s="78"/>
      <c r="G332" s="39"/>
    </row>
    <row r="333" spans="6:7" ht="15.75" customHeight="1" x14ac:dyDescent="0.2">
      <c r="F333" s="78"/>
      <c r="G333" s="39"/>
    </row>
    <row r="334" spans="6:7" ht="15.75" customHeight="1" x14ac:dyDescent="0.2">
      <c r="F334" s="78"/>
      <c r="G334" s="39"/>
    </row>
    <row r="335" spans="6:7" ht="15.75" customHeight="1" x14ac:dyDescent="0.2">
      <c r="F335" s="78"/>
      <c r="G335" s="39"/>
    </row>
    <row r="336" spans="6:7" ht="15.75" customHeight="1" x14ac:dyDescent="0.2">
      <c r="F336" s="78"/>
      <c r="G336" s="39"/>
    </row>
    <row r="337" spans="6:7" ht="15.75" customHeight="1" x14ac:dyDescent="0.2">
      <c r="F337" s="78"/>
      <c r="G337" s="39"/>
    </row>
    <row r="338" spans="6:7" ht="15.75" customHeight="1" x14ac:dyDescent="0.2">
      <c r="F338" s="78"/>
      <c r="G338" s="39"/>
    </row>
    <row r="339" spans="6:7" ht="15.75" customHeight="1" x14ac:dyDescent="0.2">
      <c r="F339" s="78"/>
      <c r="G339" s="39"/>
    </row>
    <row r="340" spans="6:7" ht="15.75" customHeight="1" x14ac:dyDescent="0.2">
      <c r="F340" s="78"/>
      <c r="G340" s="39"/>
    </row>
    <row r="341" spans="6:7" ht="15.75" customHeight="1" x14ac:dyDescent="0.2">
      <c r="F341" s="78"/>
      <c r="G341" s="39"/>
    </row>
    <row r="342" spans="6:7" ht="15.75" customHeight="1" x14ac:dyDescent="0.2">
      <c r="F342" s="78"/>
      <c r="G342" s="39"/>
    </row>
    <row r="343" spans="6:7" ht="15.75" customHeight="1" x14ac:dyDescent="0.2">
      <c r="F343" s="78"/>
      <c r="G343" s="39"/>
    </row>
    <row r="344" spans="6:7" ht="15.75" customHeight="1" x14ac:dyDescent="0.2">
      <c r="F344" s="78"/>
      <c r="G344" s="39"/>
    </row>
    <row r="345" spans="6:7" ht="15.75" customHeight="1" x14ac:dyDescent="0.2">
      <c r="F345" s="78"/>
      <c r="G345" s="39"/>
    </row>
    <row r="346" spans="6:7" ht="15.75" customHeight="1" x14ac:dyDescent="0.2">
      <c r="F346" s="78"/>
      <c r="G346" s="39"/>
    </row>
    <row r="347" spans="6:7" ht="15.75" customHeight="1" x14ac:dyDescent="0.2">
      <c r="F347" s="78"/>
      <c r="G347" s="39"/>
    </row>
    <row r="348" spans="6:7" ht="15.75" customHeight="1" x14ac:dyDescent="0.2">
      <c r="F348" s="78"/>
      <c r="G348" s="39"/>
    </row>
    <row r="349" spans="6:7" ht="15.75" customHeight="1" x14ac:dyDescent="0.2">
      <c r="F349" s="78"/>
      <c r="G349" s="39"/>
    </row>
    <row r="350" spans="6:7" ht="15.75" customHeight="1" x14ac:dyDescent="0.2">
      <c r="F350" s="78"/>
      <c r="G350" s="39"/>
    </row>
    <row r="351" spans="6:7" ht="15.75" customHeight="1" x14ac:dyDescent="0.2">
      <c r="F351" s="78"/>
      <c r="G351" s="39"/>
    </row>
    <row r="352" spans="6:7" ht="15.75" customHeight="1" x14ac:dyDescent="0.2">
      <c r="F352" s="78"/>
      <c r="G352" s="39"/>
    </row>
    <row r="353" spans="6:7" ht="15.75" customHeight="1" x14ac:dyDescent="0.2">
      <c r="F353" s="78"/>
      <c r="G353" s="39"/>
    </row>
    <row r="354" spans="6:7" ht="15.75" customHeight="1" x14ac:dyDescent="0.2">
      <c r="F354" s="78"/>
      <c r="G354" s="39"/>
    </row>
    <row r="355" spans="6:7" ht="15.75" customHeight="1" x14ac:dyDescent="0.2">
      <c r="F355" s="78"/>
      <c r="G355" s="39"/>
    </row>
    <row r="356" spans="6:7" ht="15.75" customHeight="1" x14ac:dyDescent="0.2">
      <c r="F356" s="78"/>
      <c r="G356" s="39"/>
    </row>
    <row r="357" spans="6:7" ht="15.75" customHeight="1" x14ac:dyDescent="0.2">
      <c r="F357" s="78"/>
      <c r="G357" s="39"/>
    </row>
    <row r="358" spans="6:7" ht="15.75" customHeight="1" x14ac:dyDescent="0.2">
      <c r="F358" s="78"/>
      <c r="G358" s="39"/>
    </row>
    <row r="359" spans="6:7" ht="15.75" customHeight="1" x14ac:dyDescent="0.2">
      <c r="F359" s="78"/>
      <c r="G359" s="39"/>
    </row>
    <row r="360" spans="6:7" ht="15.75" customHeight="1" x14ac:dyDescent="0.2">
      <c r="F360" s="78"/>
      <c r="G360" s="39"/>
    </row>
    <row r="361" spans="6:7" ht="15.75" customHeight="1" x14ac:dyDescent="0.2">
      <c r="F361" s="78"/>
      <c r="G361" s="39"/>
    </row>
    <row r="362" spans="6:7" ht="15.75" customHeight="1" x14ac:dyDescent="0.2">
      <c r="F362" s="78"/>
      <c r="G362" s="39"/>
    </row>
    <row r="363" spans="6:7" ht="15.75" customHeight="1" x14ac:dyDescent="0.2">
      <c r="F363" s="78"/>
      <c r="G363" s="39"/>
    </row>
    <row r="364" spans="6:7" ht="15.75" customHeight="1" x14ac:dyDescent="0.2">
      <c r="F364" s="78"/>
      <c r="G364" s="39"/>
    </row>
    <row r="365" spans="6:7" ht="15.75" customHeight="1" x14ac:dyDescent="0.2">
      <c r="F365" s="78"/>
      <c r="G365" s="39"/>
    </row>
    <row r="366" spans="6:7" ht="15.75" customHeight="1" x14ac:dyDescent="0.2">
      <c r="F366" s="78"/>
      <c r="G366" s="39"/>
    </row>
    <row r="367" spans="6:7" ht="15.75" customHeight="1" x14ac:dyDescent="0.2">
      <c r="F367" s="78"/>
      <c r="G367" s="39"/>
    </row>
    <row r="368" spans="6:7" ht="15.75" customHeight="1" x14ac:dyDescent="0.2">
      <c r="F368" s="78"/>
      <c r="G368" s="39"/>
    </row>
    <row r="369" spans="6:7" ht="15.75" customHeight="1" x14ac:dyDescent="0.2">
      <c r="F369" s="78"/>
      <c r="G369" s="39"/>
    </row>
    <row r="370" spans="6:7" ht="15.75" customHeight="1" x14ac:dyDescent="0.2">
      <c r="F370" s="78"/>
      <c r="G370" s="39"/>
    </row>
    <row r="371" spans="6:7" ht="15.75" customHeight="1" x14ac:dyDescent="0.2">
      <c r="F371" s="78"/>
      <c r="G371" s="39"/>
    </row>
    <row r="372" spans="6:7" ht="15.75" customHeight="1" x14ac:dyDescent="0.2">
      <c r="F372" s="78"/>
      <c r="G372" s="39"/>
    </row>
    <row r="373" spans="6:7" ht="15.75" customHeight="1" x14ac:dyDescent="0.2">
      <c r="F373" s="78"/>
      <c r="G373" s="39"/>
    </row>
    <row r="374" spans="6:7" ht="15.75" customHeight="1" x14ac:dyDescent="0.2">
      <c r="F374" s="78"/>
      <c r="G374" s="39"/>
    </row>
    <row r="375" spans="6:7" ht="15.75" customHeight="1" x14ac:dyDescent="0.2">
      <c r="F375" s="78"/>
      <c r="G375" s="39"/>
    </row>
    <row r="376" spans="6:7" ht="15.75" customHeight="1" x14ac:dyDescent="0.2">
      <c r="F376" s="78"/>
      <c r="G376" s="39"/>
    </row>
    <row r="377" spans="6:7" ht="15.75" customHeight="1" x14ac:dyDescent="0.2">
      <c r="F377" s="78"/>
      <c r="G377" s="39"/>
    </row>
    <row r="378" spans="6:7" ht="15.75" customHeight="1" x14ac:dyDescent="0.2">
      <c r="F378" s="78"/>
      <c r="G378" s="39"/>
    </row>
    <row r="379" spans="6:7" ht="15.75" customHeight="1" x14ac:dyDescent="0.2">
      <c r="F379" s="78"/>
      <c r="G379" s="39"/>
    </row>
    <row r="380" spans="6:7" ht="15.75" customHeight="1" x14ac:dyDescent="0.2">
      <c r="F380" s="78"/>
      <c r="G380" s="39"/>
    </row>
    <row r="381" spans="6:7" ht="15.75" customHeight="1" x14ac:dyDescent="0.2">
      <c r="F381" s="78"/>
      <c r="G381" s="39"/>
    </row>
    <row r="382" spans="6:7" ht="15.75" customHeight="1" x14ac:dyDescent="0.2">
      <c r="F382" s="78"/>
      <c r="G382" s="39"/>
    </row>
    <row r="383" spans="6:7" ht="15.75" customHeight="1" x14ac:dyDescent="0.2">
      <c r="F383" s="78"/>
      <c r="G383" s="39"/>
    </row>
    <row r="384" spans="6:7" ht="15.75" customHeight="1" x14ac:dyDescent="0.2">
      <c r="F384" s="78"/>
      <c r="G384" s="39"/>
    </row>
    <row r="385" spans="6:7" ht="15.75" customHeight="1" x14ac:dyDescent="0.2">
      <c r="F385" s="78"/>
      <c r="G385" s="39"/>
    </row>
    <row r="386" spans="6:7" ht="15.75" customHeight="1" x14ac:dyDescent="0.2">
      <c r="F386" s="78"/>
      <c r="G386" s="39"/>
    </row>
    <row r="387" spans="6:7" ht="15.75" customHeight="1" x14ac:dyDescent="0.2">
      <c r="F387" s="78"/>
      <c r="G387" s="39"/>
    </row>
    <row r="388" spans="6:7" ht="15.75" customHeight="1" x14ac:dyDescent="0.2">
      <c r="F388" s="78"/>
      <c r="G388" s="39"/>
    </row>
    <row r="389" spans="6:7" ht="15.75" customHeight="1" x14ac:dyDescent="0.2">
      <c r="F389" s="78"/>
      <c r="G389" s="39"/>
    </row>
    <row r="390" spans="6:7" ht="15.75" customHeight="1" x14ac:dyDescent="0.2">
      <c r="F390" s="78"/>
      <c r="G390" s="39"/>
    </row>
    <row r="391" spans="6:7" ht="15.75" customHeight="1" x14ac:dyDescent="0.2">
      <c r="F391" s="78"/>
      <c r="G391" s="39"/>
    </row>
    <row r="392" spans="6:7" ht="15.75" customHeight="1" x14ac:dyDescent="0.2">
      <c r="F392" s="78"/>
      <c r="G392" s="39"/>
    </row>
    <row r="393" spans="6:7" ht="15.75" customHeight="1" x14ac:dyDescent="0.2">
      <c r="F393" s="78"/>
      <c r="G393" s="39"/>
    </row>
    <row r="394" spans="6:7" ht="15.75" customHeight="1" x14ac:dyDescent="0.2">
      <c r="F394" s="78"/>
      <c r="G394" s="39"/>
    </row>
    <row r="395" spans="6:7" ht="15.75" customHeight="1" x14ac:dyDescent="0.2">
      <c r="F395" s="78"/>
      <c r="G395" s="39"/>
    </row>
    <row r="396" spans="6:7" ht="15.75" customHeight="1" x14ac:dyDescent="0.2">
      <c r="F396" s="78"/>
      <c r="G396" s="39"/>
    </row>
    <row r="397" spans="6:7" ht="15.75" customHeight="1" x14ac:dyDescent="0.2">
      <c r="F397" s="78"/>
      <c r="G397" s="39"/>
    </row>
    <row r="398" spans="6:7" ht="15.75" customHeight="1" x14ac:dyDescent="0.2">
      <c r="F398" s="78"/>
      <c r="G398" s="39"/>
    </row>
    <row r="399" spans="6:7" ht="15.75" customHeight="1" x14ac:dyDescent="0.2">
      <c r="F399" s="78"/>
      <c r="G399" s="39"/>
    </row>
    <row r="400" spans="6:7" ht="15.75" customHeight="1" x14ac:dyDescent="0.2">
      <c r="F400" s="78"/>
      <c r="G400" s="39"/>
    </row>
    <row r="401" spans="6:7" ht="15.75" customHeight="1" x14ac:dyDescent="0.2">
      <c r="F401" s="78"/>
      <c r="G401" s="39"/>
    </row>
    <row r="402" spans="6:7" ht="15.75" customHeight="1" x14ac:dyDescent="0.2">
      <c r="F402" s="78"/>
      <c r="G402" s="39"/>
    </row>
    <row r="403" spans="6:7" ht="15.75" customHeight="1" x14ac:dyDescent="0.2">
      <c r="F403" s="78"/>
      <c r="G403" s="39"/>
    </row>
    <row r="404" spans="6:7" ht="15.75" customHeight="1" x14ac:dyDescent="0.2">
      <c r="F404" s="78"/>
      <c r="G404" s="39"/>
    </row>
    <row r="405" spans="6:7" ht="15.75" customHeight="1" x14ac:dyDescent="0.2">
      <c r="F405" s="78"/>
      <c r="G405" s="39"/>
    </row>
    <row r="406" spans="6:7" ht="15.75" customHeight="1" x14ac:dyDescent="0.2">
      <c r="F406" s="78"/>
      <c r="G406" s="39"/>
    </row>
    <row r="407" spans="6:7" ht="15.75" customHeight="1" x14ac:dyDescent="0.2">
      <c r="F407" s="78"/>
      <c r="G407" s="39"/>
    </row>
    <row r="408" spans="6:7" ht="15.75" customHeight="1" x14ac:dyDescent="0.2">
      <c r="F408" s="78"/>
      <c r="G408" s="39"/>
    </row>
    <row r="409" spans="6:7" ht="15.75" customHeight="1" x14ac:dyDescent="0.2">
      <c r="F409" s="78"/>
      <c r="G409" s="39"/>
    </row>
    <row r="410" spans="6:7" ht="15.75" customHeight="1" x14ac:dyDescent="0.2">
      <c r="F410" s="78"/>
      <c r="G410" s="39"/>
    </row>
    <row r="411" spans="6:7" ht="15.75" customHeight="1" x14ac:dyDescent="0.2">
      <c r="F411" s="78"/>
      <c r="G411" s="39"/>
    </row>
    <row r="412" spans="6:7" ht="15.75" customHeight="1" x14ac:dyDescent="0.2">
      <c r="F412" s="78"/>
      <c r="G412" s="39"/>
    </row>
    <row r="413" spans="6:7" ht="15.75" customHeight="1" x14ac:dyDescent="0.2">
      <c r="F413" s="78"/>
      <c r="G413" s="39"/>
    </row>
    <row r="414" spans="6:7" ht="15.75" customHeight="1" x14ac:dyDescent="0.2">
      <c r="F414" s="78"/>
      <c r="G414" s="39"/>
    </row>
    <row r="415" spans="6:7" ht="15.75" customHeight="1" x14ac:dyDescent="0.2">
      <c r="F415" s="78"/>
      <c r="G415" s="39"/>
    </row>
    <row r="416" spans="6:7" ht="15.75" customHeight="1" x14ac:dyDescent="0.2">
      <c r="F416" s="78"/>
      <c r="G416" s="39"/>
    </row>
    <row r="417" spans="6:7" ht="15.75" customHeight="1" x14ac:dyDescent="0.2">
      <c r="F417" s="78"/>
      <c r="G417" s="39"/>
    </row>
    <row r="418" spans="6:7" ht="15.75" customHeight="1" x14ac:dyDescent="0.2">
      <c r="F418" s="78"/>
      <c r="G418" s="39"/>
    </row>
    <row r="419" spans="6:7" ht="15.75" customHeight="1" x14ac:dyDescent="0.2">
      <c r="F419" s="78"/>
      <c r="G419" s="39"/>
    </row>
    <row r="420" spans="6:7" ht="15.75" customHeight="1" x14ac:dyDescent="0.2">
      <c r="F420" s="78"/>
      <c r="G420" s="39"/>
    </row>
    <row r="421" spans="6:7" ht="15.75" customHeight="1" x14ac:dyDescent="0.2">
      <c r="F421" s="78"/>
      <c r="G421" s="39"/>
    </row>
    <row r="422" spans="6:7" ht="15.75" customHeight="1" x14ac:dyDescent="0.2">
      <c r="F422" s="78"/>
      <c r="G422" s="39"/>
    </row>
    <row r="423" spans="6:7" ht="15.75" customHeight="1" x14ac:dyDescent="0.2">
      <c r="F423" s="78"/>
      <c r="G423" s="39"/>
    </row>
    <row r="424" spans="6:7" ht="15.75" customHeight="1" x14ac:dyDescent="0.2">
      <c r="F424" s="78"/>
      <c r="G424" s="39"/>
    </row>
    <row r="425" spans="6:7" ht="15.75" customHeight="1" x14ac:dyDescent="0.2">
      <c r="F425" s="78"/>
      <c r="G425" s="39"/>
    </row>
    <row r="426" spans="6:7" ht="15.75" customHeight="1" x14ac:dyDescent="0.2">
      <c r="F426" s="78"/>
      <c r="G426" s="39"/>
    </row>
    <row r="427" spans="6:7" ht="15.75" customHeight="1" x14ac:dyDescent="0.2">
      <c r="F427" s="78"/>
      <c r="G427" s="39"/>
    </row>
    <row r="428" spans="6:7" ht="15.75" customHeight="1" x14ac:dyDescent="0.2">
      <c r="F428" s="78"/>
      <c r="G428" s="39"/>
    </row>
    <row r="429" spans="6:7" ht="15.75" customHeight="1" x14ac:dyDescent="0.2">
      <c r="F429" s="78"/>
      <c r="G429" s="39"/>
    </row>
    <row r="430" spans="6:7" ht="15.75" customHeight="1" x14ac:dyDescent="0.2">
      <c r="F430" s="78"/>
      <c r="G430" s="39"/>
    </row>
    <row r="431" spans="6:7" ht="15.75" customHeight="1" x14ac:dyDescent="0.2">
      <c r="F431" s="78"/>
      <c r="G431" s="39"/>
    </row>
    <row r="432" spans="6:7" ht="15.75" customHeight="1" x14ac:dyDescent="0.2">
      <c r="F432" s="78"/>
      <c r="G432" s="39"/>
    </row>
    <row r="433" spans="6:7" ht="15.75" customHeight="1" x14ac:dyDescent="0.2">
      <c r="F433" s="78"/>
      <c r="G433" s="39"/>
    </row>
    <row r="434" spans="6:7" ht="15.75" customHeight="1" x14ac:dyDescent="0.2">
      <c r="F434" s="78"/>
      <c r="G434" s="39"/>
    </row>
    <row r="435" spans="6:7" ht="15.75" customHeight="1" x14ac:dyDescent="0.2">
      <c r="F435" s="78"/>
      <c r="G435" s="39"/>
    </row>
    <row r="436" spans="6:7" ht="15.75" customHeight="1" x14ac:dyDescent="0.2">
      <c r="F436" s="78"/>
      <c r="G436" s="39"/>
    </row>
    <row r="437" spans="6:7" ht="15.75" customHeight="1" x14ac:dyDescent="0.2">
      <c r="F437" s="78"/>
      <c r="G437" s="39"/>
    </row>
    <row r="438" spans="6:7" ht="15.75" customHeight="1" x14ac:dyDescent="0.2">
      <c r="F438" s="78"/>
      <c r="G438" s="39"/>
    </row>
    <row r="439" spans="6:7" ht="15.75" customHeight="1" x14ac:dyDescent="0.2">
      <c r="F439" s="78"/>
      <c r="G439" s="39"/>
    </row>
    <row r="440" spans="6:7" ht="15.75" customHeight="1" x14ac:dyDescent="0.2">
      <c r="F440" s="78"/>
      <c r="G440" s="39"/>
    </row>
    <row r="441" spans="6:7" ht="15.75" customHeight="1" x14ac:dyDescent="0.2">
      <c r="F441" s="78"/>
      <c r="G441" s="39"/>
    </row>
    <row r="442" spans="6:7" ht="15.75" customHeight="1" x14ac:dyDescent="0.2">
      <c r="F442" s="78"/>
      <c r="G442" s="39"/>
    </row>
    <row r="443" spans="6:7" ht="15.75" customHeight="1" x14ac:dyDescent="0.2">
      <c r="F443" s="78"/>
      <c r="G443" s="39"/>
    </row>
    <row r="444" spans="6:7" ht="15.75" customHeight="1" x14ac:dyDescent="0.2">
      <c r="F444" s="78"/>
      <c r="G444" s="39"/>
    </row>
    <row r="445" spans="6:7" ht="15.75" customHeight="1" x14ac:dyDescent="0.2">
      <c r="F445" s="78"/>
      <c r="G445" s="39"/>
    </row>
    <row r="446" spans="6:7" ht="15.75" customHeight="1" x14ac:dyDescent="0.2">
      <c r="F446" s="78"/>
      <c r="G446" s="39"/>
    </row>
    <row r="447" spans="6:7" ht="15.75" customHeight="1" x14ac:dyDescent="0.2">
      <c r="F447" s="78"/>
      <c r="G447" s="39"/>
    </row>
    <row r="448" spans="6:7" ht="15.75" customHeight="1" x14ac:dyDescent="0.2">
      <c r="F448" s="78"/>
      <c r="G448" s="39"/>
    </row>
    <row r="449" spans="6:7" ht="15.75" customHeight="1" x14ac:dyDescent="0.2">
      <c r="F449" s="78"/>
      <c r="G449" s="39"/>
    </row>
    <row r="450" spans="6:7" ht="15.75" customHeight="1" x14ac:dyDescent="0.2">
      <c r="F450" s="78"/>
      <c r="G450" s="39"/>
    </row>
    <row r="451" spans="6:7" ht="15.75" customHeight="1" x14ac:dyDescent="0.2">
      <c r="F451" s="78"/>
      <c r="G451" s="39"/>
    </row>
    <row r="452" spans="6:7" ht="15.75" customHeight="1" x14ac:dyDescent="0.2">
      <c r="F452" s="78"/>
      <c r="G452" s="39"/>
    </row>
    <row r="453" spans="6:7" ht="15.75" customHeight="1" x14ac:dyDescent="0.2">
      <c r="F453" s="78"/>
      <c r="G453" s="39"/>
    </row>
    <row r="454" spans="6:7" ht="15.75" customHeight="1" x14ac:dyDescent="0.2">
      <c r="F454" s="78"/>
      <c r="G454" s="39"/>
    </row>
    <row r="455" spans="6:7" ht="15.75" customHeight="1" x14ac:dyDescent="0.2">
      <c r="F455" s="78"/>
      <c r="G455" s="39"/>
    </row>
    <row r="456" spans="6:7" ht="15.75" customHeight="1" x14ac:dyDescent="0.2">
      <c r="F456" s="78"/>
      <c r="G456" s="39"/>
    </row>
    <row r="457" spans="6:7" ht="15.75" customHeight="1" x14ac:dyDescent="0.2">
      <c r="F457" s="78"/>
      <c r="G457" s="39"/>
    </row>
    <row r="458" spans="6:7" ht="15.75" customHeight="1" x14ac:dyDescent="0.2">
      <c r="F458" s="78"/>
      <c r="G458" s="39"/>
    </row>
    <row r="459" spans="6:7" ht="15.75" customHeight="1" x14ac:dyDescent="0.2">
      <c r="F459" s="78"/>
      <c r="G459" s="39"/>
    </row>
    <row r="460" spans="6:7" ht="15.75" customHeight="1" x14ac:dyDescent="0.2">
      <c r="F460" s="78"/>
      <c r="G460" s="39"/>
    </row>
    <row r="461" spans="6:7" ht="15.75" customHeight="1" x14ac:dyDescent="0.2">
      <c r="F461" s="78"/>
      <c r="G461" s="39"/>
    </row>
    <row r="462" spans="6:7" ht="15.75" customHeight="1" x14ac:dyDescent="0.2">
      <c r="F462" s="78"/>
      <c r="G462" s="39"/>
    </row>
    <row r="463" spans="6:7" ht="15.75" customHeight="1" x14ac:dyDescent="0.2">
      <c r="F463" s="78"/>
      <c r="G463" s="39"/>
    </row>
    <row r="464" spans="6:7" ht="15.75" customHeight="1" x14ac:dyDescent="0.2">
      <c r="F464" s="78"/>
      <c r="G464" s="39"/>
    </row>
    <row r="465" spans="6:7" ht="15.75" customHeight="1" x14ac:dyDescent="0.2">
      <c r="F465" s="78"/>
      <c r="G465" s="39"/>
    </row>
    <row r="466" spans="6:7" ht="15.75" customHeight="1" x14ac:dyDescent="0.2">
      <c r="F466" s="78"/>
      <c r="G466" s="39"/>
    </row>
    <row r="467" spans="6:7" ht="15.75" customHeight="1" x14ac:dyDescent="0.2">
      <c r="F467" s="78"/>
      <c r="G467" s="39"/>
    </row>
    <row r="468" spans="6:7" ht="15.75" customHeight="1" x14ac:dyDescent="0.2">
      <c r="F468" s="78"/>
      <c r="G468" s="39"/>
    </row>
    <row r="469" spans="6:7" ht="15.75" customHeight="1" x14ac:dyDescent="0.2">
      <c r="F469" s="78"/>
      <c r="G469" s="39"/>
    </row>
    <row r="470" spans="6:7" ht="15.75" customHeight="1" x14ac:dyDescent="0.2">
      <c r="F470" s="78"/>
      <c r="G470" s="39"/>
    </row>
    <row r="471" spans="6:7" ht="15.75" customHeight="1" x14ac:dyDescent="0.2">
      <c r="F471" s="78"/>
      <c r="G471" s="39"/>
    </row>
    <row r="472" spans="6:7" ht="15.75" customHeight="1" x14ac:dyDescent="0.2">
      <c r="F472" s="78"/>
      <c r="G472" s="39"/>
    </row>
    <row r="473" spans="6:7" ht="15.75" customHeight="1" x14ac:dyDescent="0.2">
      <c r="F473" s="78"/>
      <c r="G473" s="39"/>
    </row>
    <row r="474" spans="6:7" ht="15.75" customHeight="1" x14ac:dyDescent="0.2">
      <c r="F474" s="78"/>
      <c r="G474" s="39"/>
    </row>
    <row r="475" spans="6:7" ht="15.75" customHeight="1" x14ac:dyDescent="0.2">
      <c r="F475" s="78"/>
      <c r="G475" s="39"/>
    </row>
    <row r="476" spans="6:7" ht="15.75" customHeight="1" x14ac:dyDescent="0.2">
      <c r="F476" s="78"/>
      <c r="G476" s="39"/>
    </row>
    <row r="477" spans="6:7" ht="15.75" customHeight="1" x14ac:dyDescent="0.2">
      <c r="F477" s="78"/>
      <c r="G477" s="39"/>
    </row>
    <row r="478" spans="6:7" ht="15.75" customHeight="1" x14ac:dyDescent="0.2">
      <c r="F478" s="78"/>
      <c r="G478" s="39"/>
    </row>
    <row r="479" spans="6:7" ht="15.75" customHeight="1" x14ac:dyDescent="0.2">
      <c r="F479" s="78"/>
      <c r="G479" s="39"/>
    </row>
    <row r="480" spans="6:7" ht="15.75" customHeight="1" x14ac:dyDescent="0.2">
      <c r="F480" s="78"/>
      <c r="G480" s="39"/>
    </row>
    <row r="481" spans="6:7" ht="15.75" customHeight="1" x14ac:dyDescent="0.2">
      <c r="F481" s="78"/>
      <c r="G481" s="39"/>
    </row>
    <row r="482" spans="6:7" ht="15.75" customHeight="1" x14ac:dyDescent="0.2">
      <c r="F482" s="78"/>
      <c r="G482" s="39"/>
    </row>
    <row r="483" spans="6:7" ht="15.75" customHeight="1" x14ac:dyDescent="0.2">
      <c r="F483" s="78"/>
      <c r="G483" s="39"/>
    </row>
    <row r="484" spans="6:7" ht="15.75" customHeight="1" x14ac:dyDescent="0.2">
      <c r="F484" s="78"/>
      <c r="G484" s="39"/>
    </row>
    <row r="485" spans="6:7" ht="15.75" customHeight="1" x14ac:dyDescent="0.2">
      <c r="F485" s="78"/>
      <c r="G485" s="39"/>
    </row>
    <row r="486" spans="6:7" ht="15.75" customHeight="1" x14ac:dyDescent="0.2">
      <c r="F486" s="78"/>
      <c r="G486" s="39"/>
    </row>
    <row r="487" spans="6:7" ht="15.75" customHeight="1" x14ac:dyDescent="0.2">
      <c r="F487" s="78"/>
      <c r="G487" s="39"/>
    </row>
    <row r="488" spans="6:7" ht="15.75" customHeight="1" x14ac:dyDescent="0.2">
      <c r="F488" s="78"/>
      <c r="G488" s="39"/>
    </row>
    <row r="489" spans="6:7" ht="15.75" customHeight="1" x14ac:dyDescent="0.2">
      <c r="F489" s="78"/>
      <c r="G489" s="39"/>
    </row>
    <row r="490" spans="6:7" ht="15.75" customHeight="1" x14ac:dyDescent="0.2">
      <c r="F490" s="78"/>
      <c r="G490" s="39"/>
    </row>
    <row r="491" spans="6:7" ht="15.75" customHeight="1" x14ac:dyDescent="0.2">
      <c r="F491" s="78"/>
      <c r="G491" s="39"/>
    </row>
    <row r="492" spans="6:7" ht="15.75" customHeight="1" x14ac:dyDescent="0.2">
      <c r="F492" s="78"/>
      <c r="G492" s="39"/>
    </row>
    <row r="493" spans="6:7" ht="15.75" customHeight="1" x14ac:dyDescent="0.2">
      <c r="F493" s="78"/>
      <c r="G493" s="39"/>
    </row>
    <row r="494" spans="6:7" ht="15.75" customHeight="1" x14ac:dyDescent="0.2">
      <c r="F494" s="78"/>
      <c r="G494" s="39"/>
    </row>
    <row r="495" spans="6:7" ht="15.75" customHeight="1" x14ac:dyDescent="0.2">
      <c r="F495" s="78"/>
      <c r="G495" s="39"/>
    </row>
    <row r="496" spans="6:7" ht="15.75" customHeight="1" x14ac:dyDescent="0.2">
      <c r="F496" s="78"/>
      <c r="G496" s="39"/>
    </row>
    <row r="497" spans="6:7" ht="15.75" customHeight="1" x14ac:dyDescent="0.2">
      <c r="F497" s="78"/>
      <c r="G497" s="39"/>
    </row>
    <row r="498" spans="6:7" ht="15.75" customHeight="1" x14ac:dyDescent="0.2">
      <c r="F498" s="78"/>
      <c r="G498" s="39"/>
    </row>
    <row r="499" spans="6:7" ht="15.75" customHeight="1" x14ac:dyDescent="0.2">
      <c r="F499" s="78"/>
      <c r="G499" s="39"/>
    </row>
    <row r="500" spans="6:7" ht="15.75" customHeight="1" x14ac:dyDescent="0.2">
      <c r="F500" s="78"/>
      <c r="G500" s="39"/>
    </row>
    <row r="501" spans="6:7" ht="15.75" customHeight="1" x14ac:dyDescent="0.2">
      <c r="F501" s="78"/>
      <c r="G501" s="39"/>
    </row>
    <row r="502" spans="6:7" ht="15.75" customHeight="1" x14ac:dyDescent="0.2">
      <c r="F502" s="78"/>
      <c r="G502" s="39"/>
    </row>
    <row r="503" spans="6:7" ht="15.75" customHeight="1" x14ac:dyDescent="0.2">
      <c r="F503" s="78"/>
      <c r="G503" s="39"/>
    </row>
    <row r="504" spans="6:7" ht="15.75" customHeight="1" x14ac:dyDescent="0.2">
      <c r="F504" s="78"/>
      <c r="G504" s="39"/>
    </row>
    <row r="505" spans="6:7" ht="15.75" customHeight="1" x14ac:dyDescent="0.2">
      <c r="F505" s="78"/>
      <c r="G505" s="39"/>
    </row>
    <row r="506" spans="6:7" ht="15.75" customHeight="1" x14ac:dyDescent="0.2">
      <c r="F506" s="78"/>
      <c r="G506" s="39"/>
    </row>
    <row r="507" spans="6:7" ht="15.75" customHeight="1" x14ac:dyDescent="0.2">
      <c r="F507" s="78"/>
      <c r="G507" s="39"/>
    </row>
    <row r="508" spans="6:7" ht="15.75" customHeight="1" x14ac:dyDescent="0.2">
      <c r="F508" s="78"/>
      <c r="G508" s="39"/>
    </row>
    <row r="509" spans="6:7" ht="15.75" customHeight="1" x14ac:dyDescent="0.2">
      <c r="F509" s="78"/>
      <c r="G509" s="39"/>
    </row>
    <row r="510" spans="6:7" ht="15.75" customHeight="1" x14ac:dyDescent="0.2">
      <c r="F510" s="78"/>
      <c r="G510" s="39"/>
    </row>
    <row r="511" spans="6:7" ht="15.75" customHeight="1" x14ac:dyDescent="0.2">
      <c r="F511" s="78"/>
      <c r="G511" s="39"/>
    </row>
    <row r="512" spans="6:7" ht="15.75" customHeight="1" x14ac:dyDescent="0.2">
      <c r="F512" s="78"/>
      <c r="G512" s="39"/>
    </row>
    <row r="513" spans="6:7" ht="15.75" customHeight="1" x14ac:dyDescent="0.2">
      <c r="F513" s="78"/>
      <c r="G513" s="39"/>
    </row>
    <row r="514" spans="6:7" ht="15.75" customHeight="1" x14ac:dyDescent="0.2">
      <c r="F514" s="78"/>
      <c r="G514" s="39"/>
    </row>
    <row r="515" spans="6:7" ht="15.75" customHeight="1" x14ac:dyDescent="0.2">
      <c r="F515" s="78"/>
      <c r="G515" s="39"/>
    </row>
    <row r="516" spans="6:7" ht="15.75" customHeight="1" x14ac:dyDescent="0.2">
      <c r="F516" s="78"/>
      <c r="G516" s="39"/>
    </row>
    <row r="517" spans="6:7" ht="15.75" customHeight="1" x14ac:dyDescent="0.2">
      <c r="F517" s="78"/>
      <c r="G517" s="39"/>
    </row>
    <row r="518" spans="6:7" ht="15.75" customHeight="1" x14ac:dyDescent="0.2">
      <c r="F518" s="78"/>
      <c r="G518" s="39"/>
    </row>
    <row r="519" spans="6:7" ht="15.75" customHeight="1" x14ac:dyDescent="0.2">
      <c r="F519" s="78"/>
      <c r="G519" s="39"/>
    </row>
    <row r="520" spans="6:7" ht="15.75" customHeight="1" x14ac:dyDescent="0.2">
      <c r="F520" s="78"/>
      <c r="G520" s="39"/>
    </row>
    <row r="521" spans="6:7" ht="15.75" customHeight="1" x14ac:dyDescent="0.2">
      <c r="F521" s="78"/>
      <c r="G521" s="39"/>
    </row>
    <row r="522" spans="6:7" ht="15.75" customHeight="1" x14ac:dyDescent="0.2">
      <c r="F522" s="78"/>
      <c r="G522" s="39"/>
    </row>
    <row r="523" spans="6:7" ht="15.75" customHeight="1" x14ac:dyDescent="0.2">
      <c r="F523" s="78"/>
      <c r="G523" s="39"/>
    </row>
    <row r="524" spans="6:7" ht="15.75" customHeight="1" x14ac:dyDescent="0.2">
      <c r="F524" s="78"/>
      <c r="G524" s="39"/>
    </row>
    <row r="525" spans="6:7" ht="15.75" customHeight="1" x14ac:dyDescent="0.2">
      <c r="F525" s="78"/>
      <c r="G525" s="39"/>
    </row>
    <row r="526" spans="6:7" ht="15.75" customHeight="1" x14ac:dyDescent="0.2">
      <c r="F526" s="78"/>
      <c r="G526" s="39"/>
    </row>
    <row r="527" spans="6:7" ht="15.75" customHeight="1" x14ac:dyDescent="0.2">
      <c r="F527" s="78"/>
      <c r="G527" s="39"/>
    </row>
    <row r="528" spans="6:7" ht="15.75" customHeight="1" x14ac:dyDescent="0.2">
      <c r="F528" s="78"/>
      <c r="G528" s="39"/>
    </row>
    <row r="529" spans="6:7" ht="15.75" customHeight="1" x14ac:dyDescent="0.2">
      <c r="F529" s="78"/>
      <c r="G529" s="39"/>
    </row>
    <row r="530" spans="6:7" ht="15.75" customHeight="1" x14ac:dyDescent="0.2">
      <c r="F530" s="78"/>
      <c r="G530" s="39"/>
    </row>
    <row r="531" spans="6:7" ht="15.75" customHeight="1" x14ac:dyDescent="0.2">
      <c r="F531" s="78"/>
      <c r="G531" s="39"/>
    </row>
    <row r="532" spans="6:7" ht="15.75" customHeight="1" x14ac:dyDescent="0.2">
      <c r="F532" s="78"/>
      <c r="G532" s="39"/>
    </row>
    <row r="533" spans="6:7" ht="15.75" customHeight="1" x14ac:dyDescent="0.2">
      <c r="F533" s="78"/>
      <c r="G533" s="39"/>
    </row>
    <row r="534" spans="6:7" ht="15.75" customHeight="1" x14ac:dyDescent="0.2">
      <c r="F534" s="78"/>
      <c r="G534" s="39"/>
    </row>
    <row r="535" spans="6:7" ht="15.75" customHeight="1" x14ac:dyDescent="0.2">
      <c r="F535" s="78"/>
      <c r="G535" s="39"/>
    </row>
    <row r="536" spans="6:7" ht="15.75" customHeight="1" x14ac:dyDescent="0.2">
      <c r="F536" s="78"/>
      <c r="G536" s="39"/>
    </row>
    <row r="537" spans="6:7" ht="15.75" customHeight="1" x14ac:dyDescent="0.2">
      <c r="F537" s="78"/>
      <c r="G537" s="39"/>
    </row>
    <row r="538" spans="6:7" ht="15.75" customHeight="1" x14ac:dyDescent="0.2">
      <c r="F538" s="78"/>
      <c r="G538" s="39"/>
    </row>
    <row r="539" spans="6:7" ht="15.75" customHeight="1" x14ac:dyDescent="0.2">
      <c r="F539" s="78"/>
      <c r="G539" s="39"/>
    </row>
    <row r="540" spans="6:7" ht="15.75" customHeight="1" x14ac:dyDescent="0.2">
      <c r="F540" s="78"/>
      <c r="G540" s="39"/>
    </row>
    <row r="541" spans="6:7" ht="15.75" customHeight="1" x14ac:dyDescent="0.2">
      <c r="F541" s="78"/>
      <c r="G541" s="39"/>
    </row>
    <row r="542" spans="6:7" ht="15.75" customHeight="1" x14ac:dyDescent="0.2">
      <c r="F542" s="78"/>
      <c r="G542" s="39"/>
    </row>
    <row r="543" spans="6:7" ht="15.75" customHeight="1" x14ac:dyDescent="0.2">
      <c r="F543" s="78"/>
      <c r="G543" s="39"/>
    </row>
    <row r="544" spans="6:7" ht="15.75" customHeight="1" x14ac:dyDescent="0.2">
      <c r="F544" s="78"/>
      <c r="G544" s="39"/>
    </row>
    <row r="545" spans="6:7" ht="15.75" customHeight="1" x14ac:dyDescent="0.2">
      <c r="F545" s="78"/>
      <c r="G545" s="39"/>
    </row>
    <row r="546" spans="6:7" ht="15.75" customHeight="1" x14ac:dyDescent="0.2">
      <c r="F546" s="78"/>
      <c r="G546" s="39"/>
    </row>
    <row r="547" spans="6:7" ht="15.75" customHeight="1" x14ac:dyDescent="0.2">
      <c r="F547" s="78"/>
      <c r="G547" s="39"/>
    </row>
    <row r="548" spans="6:7" ht="15.75" customHeight="1" x14ac:dyDescent="0.2">
      <c r="F548" s="78"/>
      <c r="G548" s="39"/>
    </row>
    <row r="549" spans="6:7" ht="15.75" customHeight="1" x14ac:dyDescent="0.2">
      <c r="F549" s="78"/>
      <c r="G549" s="39"/>
    </row>
    <row r="550" spans="6:7" ht="15.75" customHeight="1" x14ac:dyDescent="0.2">
      <c r="F550" s="78"/>
      <c r="G550" s="39"/>
    </row>
    <row r="551" spans="6:7" ht="15.75" customHeight="1" x14ac:dyDescent="0.2">
      <c r="F551" s="78"/>
      <c r="G551" s="39"/>
    </row>
    <row r="552" spans="6:7" ht="15.75" customHeight="1" x14ac:dyDescent="0.2">
      <c r="F552" s="78"/>
      <c r="G552" s="39"/>
    </row>
    <row r="553" spans="6:7" ht="15.75" customHeight="1" x14ac:dyDescent="0.2">
      <c r="F553" s="78"/>
      <c r="G553" s="39"/>
    </row>
    <row r="554" spans="6:7" ht="15.75" customHeight="1" x14ac:dyDescent="0.2">
      <c r="F554" s="78"/>
      <c r="G554" s="39"/>
    </row>
    <row r="555" spans="6:7" ht="15.75" customHeight="1" x14ac:dyDescent="0.2">
      <c r="F555" s="78"/>
      <c r="G555" s="39"/>
    </row>
    <row r="556" spans="6:7" ht="15.75" customHeight="1" x14ac:dyDescent="0.2">
      <c r="F556" s="78"/>
      <c r="G556" s="39"/>
    </row>
    <row r="557" spans="6:7" ht="15.75" customHeight="1" x14ac:dyDescent="0.2">
      <c r="F557" s="78"/>
      <c r="G557" s="39"/>
    </row>
    <row r="558" spans="6:7" ht="15.75" customHeight="1" x14ac:dyDescent="0.2">
      <c r="F558" s="78"/>
      <c r="G558" s="39"/>
    </row>
    <row r="559" spans="6:7" ht="15.75" customHeight="1" x14ac:dyDescent="0.2">
      <c r="F559" s="78"/>
      <c r="G559" s="39"/>
    </row>
    <row r="560" spans="6:7" ht="15.75" customHeight="1" x14ac:dyDescent="0.2">
      <c r="F560" s="78"/>
      <c r="G560" s="39"/>
    </row>
    <row r="561" spans="6:7" ht="15.75" customHeight="1" x14ac:dyDescent="0.2">
      <c r="F561" s="78"/>
      <c r="G561" s="39"/>
    </row>
    <row r="562" spans="6:7" ht="15.75" customHeight="1" x14ac:dyDescent="0.2">
      <c r="F562" s="78"/>
      <c r="G562" s="39"/>
    </row>
    <row r="563" spans="6:7" ht="15.75" customHeight="1" x14ac:dyDescent="0.2">
      <c r="F563" s="78"/>
      <c r="G563" s="39"/>
    </row>
    <row r="564" spans="6:7" ht="15.75" customHeight="1" x14ac:dyDescent="0.2">
      <c r="F564" s="78"/>
      <c r="G564" s="39"/>
    </row>
    <row r="565" spans="6:7" ht="15.75" customHeight="1" x14ac:dyDescent="0.2">
      <c r="F565" s="78"/>
      <c r="G565" s="39"/>
    </row>
    <row r="566" spans="6:7" ht="15.75" customHeight="1" x14ac:dyDescent="0.2">
      <c r="F566" s="78"/>
      <c r="G566" s="39"/>
    </row>
    <row r="567" spans="6:7" ht="15.75" customHeight="1" x14ac:dyDescent="0.2">
      <c r="F567" s="78"/>
      <c r="G567" s="39"/>
    </row>
    <row r="568" spans="6:7" ht="15.75" customHeight="1" x14ac:dyDescent="0.2">
      <c r="F568" s="78"/>
      <c r="G568" s="39"/>
    </row>
    <row r="569" spans="6:7" ht="15.75" customHeight="1" x14ac:dyDescent="0.2">
      <c r="F569" s="78"/>
      <c r="G569" s="39"/>
    </row>
    <row r="570" spans="6:7" ht="15.75" customHeight="1" x14ac:dyDescent="0.2">
      <c r="F570" s="78"/>
      <c r="G570" s="39"/>
    </row>
    <row r="571" spans="6:7" ht="15.75" customHeight="1" x14ac:dyDescent="0.2">
      <c r="F571" s="78"/>
      <c r="G571" s="39"/>
    </row>
    <row r="572" spans="6:7" ht="15.75" customHeight="1" x14ac:dyDescent="0.2">
      <c r="F572" s="78"/>
      <c r="G572" s="39"/>
    </row>
    <row r="573" spans="6:7" ht="15.75" customHeight="1" x14ac:dyDescent="0.2">
      <c r="F573" s="78"/>
      <c r="G573" s="39"/>
    </row>
    <row r="574" spans="6:7" ht="15.75" customHeight="1" x14ac:dyDescent="0.2">
      <c r="F574" s="78"/>
      <c r="G574" s="39"/>
    </row>
    <row r="575" spans="6:7" ht="15.75" customHeight="1" x14ac:dyDescent="0.2">
      <c r="F575" s="78"/>
      <c r="G575" s="39"/>
    </row>
    <row r="576" spans="6:7" ht="15.75" customHeight="1" x14ac:dyDescent="0.2">
      <c r="F576" s="78"/>
      <c r="G576" s="39"/>
    </row>
    <row r="577" spans="6:7" ht="15.75" customHeight="1" x14ac:dyDescent="0.2">
      <c r="F577" s="78"/>
      <c r="G577" s="39"/>
    </row>
    <row r="578" spans="6:7" ht="15.75" customHeight="1" x14ac:dyDescent="0.2">
      <c r="F578" s="78"/>
      <c r="G578" s="39"/>
    </row>
    <row r="579" spans="6:7" ht="15.75" customHeight="1" x14ac:dyDescent="0.2">
      <c r="F579" s="78"/>
      <c r="G579" s="39"/>
    </row>
    <row r="580" spans="6:7" ht="15.75" customHeight="1" x14ac:dyDescent="0.2">
      <c r="F580" s="78"/>
      <c r="G580" s="39"/>
    </row>
    <row r="581" spans="6:7" ht="15.75" customHeight="1" x14ac:dyDescent="0.2">
      <c r="F581" s="78"/>
      <c r="G581" s="39"/>
    </row>
    <row r="582" spans="6:7" ht="15.75" customHeight="1" x14ac:dyDescent="0.2">
      <c r="F582" s="78"/>
      <c r="G582" s="39"/>
    </row>
    <row r="583" spans="6:7" ht="15.75" customHeight="1" x14ac:dyDescent="0.2">
      <c r="F583" s="78"/>
      <c r="G583" s="39"/>
    </row>
    <row r="584" spans="6:7" ht="15.75" customHeight="1" x14ac:dyDescent="0.2">
      <c r="F584" s="78"/>
      <c r="G584" s="39"/>
    </row>
    <row r="585" spans="6:7" ht="15.75" customHeight="1" x14ac:dyDescent="0.2">
      <c r="F585" s="78"/>
      <c r="G585" s="39"/>
    </row>
    <row r="586" spans="6:7" ht="15.75" customHeight="1" x14ac:dyDescent="0.2">
      <c r="F586" s="78"/>
      <c r="G586" s="39"/>
    </row>
    <row r="587" spans="6:7" ht="15.75" customHeight="1" x14ac:dyDescent="0.2">
      <c r="F587" s="78"/>
      <c r="G587" s="39"/>
    </row>
    <row r="588" spans="6:7" ht="15.75" customHeight="1" x14ac:dyDescent="0.2">
      <c r="F588" s="78"/>
      <c r="G588" s="39"/>
    </row>
    <row r="589" spans="6:7" ht="15.75" customHeight="1" x14ac:dyDescent="0.2">
      <c r="F589" s="78"/>
      <c r="G589" s="39"/>
    </row>
    <row r="590" spans="6:7" ht="15.75" customHeight="1" x14ac:dyDescent="0.2">
      <c r="F590" s="78"/>
      <c r="G590" s="39"/>
    </row>
    <row r="591" spans="6:7" ht="15.75" customHeight="1" x14ac:dyDescent="0.2">
      <c r="F591" s="78"/>
      <c r="G591" s="39"/>
    </row>
    <row r="592" spans="6:7" ht="15.75" customHeight="1" x14ac:dyDescent="0.2">
      <c r="F592" s="78"/>
      <c r="G592" s="39"/>
    </row>
    <row r="593" spans="6:7" ht="15.75" customHeight="1" x14ac:dyDescent="0.2">
      <c r="F593" s="78"/>
      <c r="G593" s="39"/>
    </row>
    <row r="594" spans="6:7" ht="15.75" customHeight="1" x14ac:dyDescent="0.2">
      <c r="F594" s="78"/>
      <c r="G594" s="39"/>
    </row>
    <row r="595" spans="6:7" ht="15.75" customHeight="1" x14ac:dyDescent="0.2">
      <c r="F595" s="78"/>
      <c r="G595" s="39"/>
    </row>
    <row r="596" spans="6:7" ht="15.75" customHeight="1" x14ac:dyDescent="0.2">
      <c r="F596" s="78"/>
      <c r="G596" s="39"/>
    </row>
    <row r="597" spans="6:7" ht="15.75" customHeight="1" x14ac:dyDescent="0.2">
      <c r="F597" s="78"/>
      <c r="G597" s="39"/>
    </row>
    <row r="598" spans="6:7" ht="15.75" customHeight="1" x14ac:dyDescent="0.2">
      <c r="F598" s="78"/>
      <c r="G598" s="39"/>
    </row>
    <row r="599" spans="6:7" ht="15.75" customHeight="1" x14ac:dyDescent="0.2">
      <c r="F599" s="78"/>
      <c r="G599" s="39"/>
    </row>
    <row r="600" spans="6:7" ht="15.75" customHeight="1" x14ac:dyDescent="0.2">
      <c r="F600" s="78"/>
      <c r="G600" s="39"/>
    </row>
    <row r="601" spans="6:7" ht="15.75" customHeight="1" x14ac:dyDescent="0.2">
      <c r="F601" s="78"/>
      <c r="G601" s="39"/>
    </row>
    <row r="602" spans="6:7" ht="15.75" customHeight="1" x14ac:dyDescent="0.2">
      <c r="F602" s="78"/>
      <c r="G602" s="39"/>
    </row>
    <row r="603" spans="6:7" ht="15.75" customHeight="1" x14ac:dyDescent="0.2">
      <c r="F603" s="78"/>
      <c r="G603" s="39"/>
    </row>
    <row r="604" spans="6:7" ht="15.75" customHeight="1" x14ac:dyDescent="0.2">
      <c r="F604" s="78"/>
      <c r="G604" s="39"/>
    </row>
    <row r="605" spans="6:7" ht="15.75" customHeight="1" x14ac:dyDescent="0.2">
      <c r="F605" s="78"/>
      <c r="G605" s="39"/>
    </row>
    <row r="606" spans="6:7" ht="15.75" customHeight="1" x14ac:dyDescent="0.2">
      <c r="F606" s="78"/>
      <c r="G606" s="39"/>
    </row>
    <row r="607" spans="6:7" ht="15.75" customHeight="1" x14ac:dyDescent="0.2">
      <c r="F607" s="78"/>
      <c r="G607" s="39"/>
    </row>
    <row r="608" spans="6:7" ht="15.75" customHeight="1" x14ac:dyDescent="0.2">
      <c r="F608" s="78"/>
      <c r="G608" s="39"/>
    </row>
    <row r="609" spans="6:7" ht="15.75" customHeight="1" x14ac:dyDescent="0.2">
      <c r="F609" s="78"/>
      <c r="G609" s="39"/>
    </row>
    <row r="610" spans="6:7" ht="15.75" customHeight="1" x14ac:dyDescent="0.2">
      <c r="F610" s="78"/>
      <c r="G610" s="39"/>
    </row>
    <row r="611" spans="6:7" ht="15.75" customHeight="1" x14ac:dyDescent="0.2">
      <c r="F611" s="78"/>
      <c r="G611" s="39"/>
    </row>
    <row r="612" spans="6:7" ht="15.75" customHeight="1" x14ac:dyDescent="0.2">
      <c r="F612" s="78"/>
      <c r="G612" s="39"/>
    </row>
    <row r="613" spans="6:7" ht="15.75" customHeight="1" x14ac:dyDescent="0.2">
      <c r="F613" s="78"/>
      <c r="G613" s="39"/>
    </row>
    <row r="614" spans="6:7" ht="15.75" customHeight="1" x14ac:dyDescent="0.2">
      <c r="F614" s="78"/>
      <c r="G614" s="39"/>
    </row>
    <row r="615" spans="6:7" ht="15.75" customHeight="1" x14ac:dyDescent="0.2">
      <c r="F615" s="78"/>
      <c r="G615" s="39"/>
    </row>
    <row r="616" spans="6:7" ht="15.75" customHeight="1" x14ac:dyDescent="0.2">
      <c r="F616" s="78"/>
      <c r="G616" s="39"/>
    </row>
    <row r="617" spans="6:7" ht="15.75" customHeight="1" x14ac:dyDescent="0.2">
      <c r="F617" s="78"/>
      <c r="G617" s="39"/>
    </row>
    <row r="618" spans="6:7" ht="15.75" customHeight="1" x14ac:dyDescent="0.2">
      <c r="F618" s="78"/>
      <c r="G618" s="39"/>
    </row>
    <row r="619" spans="6:7" ht="15.75" customHeight="1" x14ac:dyDescent="0.2">
      <c r="F619" s="78"/>
      <c r="G619" s="39"/>
    </row>
    <row r="620" spans="6:7" ht="15.75" customHeight="1" x14ac:dyDescent="0.2">
      <c r="F620" s="78"/>
      <c r="G620" s="39"/>
    </row>
    <row r="621" spans="6:7" ht="15.75" customHeight="1" x14ac:dyDescent="0.2">
      <c r="F621" s="78"/>
      <c r="G621" s="39"/>
    </row>
    <row r="622" spans="6:7" ht="15.75" customHeight="1" x14ac:dyDescent="0.2">
      <c r="F622" s="78"/>
      <c r="G622" s="39"/>
    </row>
    <row r="623" spans="6:7" ht="15.75" customHeight="1" x14ac:dyDescent="0.2">
      <c r="F623" s="78"/>
      <c r="G623" s="39"/>
    </row>
    <row r="624" spans="6:7" ht="15.75" customHeight="1" x14ac:dyDescent="0.2">
      <c r="F624" s="78"/>
      <c r="G624" s="39"/>
    </row>
    <row r="625" spans="6:7" ht="15.75" customHeight="1" x14ac:dyDescent="0.2">
      <c r="F625" s="78"/>
      <c r="G625" s="39"/>
    </row>
    <row r="626" spans="6:7" ht="15.75" customHeight="1" x14ac:dyDescent="0.2">
      <c r="F626" s="78"/>
      <c r="G626" s="39"/>
    </row>
    <row r="627" spans="6:7" ht="15.75" customHeight="1" x14ac:dyDescent="0.2">
      <c r="F627" s="78"/>
      <c r="G627" s="39"/>
    </row>
    <row r="628" spans="6:7" ht="15.75" customHeight="1" x14ac:dyDescent="0.2">
      <c r="F628" s="78"/>
      <c r="G628" s="39"/>
    </row>
    <row r="629" spans="6:7" ht="15.75" customHeight="1" x14ac:dyDescent="0.2">
      <c r="F629" s="78"/>
      <c r="G629" s="39"/>
    </row>
    <row r="630" spans="6:7" ht="15.75" customHeight="1" x14ac:dyDescent="0.2">
      <c r="F630" s="78"/>
      <c r="G630" s="39"/>
    </row>
    <row r="631" spans="6:7" ht="15.75" customHeight="1" x14ac:dyDescent="0.2">
      <c r="F631" s="78"/>
      <c r="G631" s="39"/>
    </row>
    <row r="632" spans="6:7" ht="15.75" customHeight="1" x14ac:dyDescent="0.2">
      <c r="F632" s="78"/>
      <c r="G632" s="39"/>
    </row>
    <row r="633" spans="6:7" ht="15.75" customHeight="1" x14ac:dyDescent="0.2">
      <c r="F633" s="78"/>
      <c r="G633" s="39"/>
    </row>
    <row r="634" spans="6:7" ht="15.75" customHeight="1" x14ac:dyDescent="0.2">
      <c r="F634" s="78"/>
      <c r="G634" s="39"/>
    </row>
    <row r="635" spans="6:7" ht="15.75" customHeight="1" x14ac:dyDescent="0.2">
      <c r="F635" s="78"/>
      <c r="G635" s="39"/>
    </row>
    <row r="636" spans="6:7" ht="15.75" customHeight="1" x14ac:dyDescent="0.2">
      <c r="F636" s="78"/>
      <c r="G636" s="39"/>
    </row>
    <row r="637" spans="6:7" ht="15.75" customHeight="1" x14ac:dyDescent="0.2">
      <c r="F637" s="78"/>
      <c r="G637" s="39"/>
    </row>
    <row r="638" spans="6:7" ht="15.75" customHeight="1" x14ac:dyDescent="0.2">
      <c r="F638" s="78"/>
      <c r="G638" s="39"/>
    </row>
    <row r="639" spans="6:7" ht="15.75" customHeight="1" x14ac:dyDescent="0.2">
      <c r="F639" s="78"/>
      <c r="G639" s="39"/>
    </row>
    <row r="640" spans="6:7" ht="15.75" customHeight="1" x14ac:dyDescent="0.2">
      <c r="F640" s="78"/>
      <c r="G640" s="39"/>
    </row>
    <row r="641" spans="6:7" ht="15.75" customHeight="1" x14ac:dyDescent="0.2">
      <c r="F641" s="78"/>
      <c r="G641" s="39"/>
    </row>
    <row r="642" spans="6:7" ht="15.75" customHeight="1" x14ac:dyDescent="0.2">
      <c r="F642" s="78"/>
      <c r="G642" s="39"/>
    </row>
    <row r="643" spans="6:7" ht="15.75" customHeight="1" x14ac:dyDescent="0.2">
      <c r="F643" s="78"/>
      <c r="G643" s="39"/>
    </row>
    <row r="644" spans="6:7" ht="15.75" customHeight="1" x14ac:dyDescent="0.2">
      <c r="F644" s="78"/>
      <c r="G644" s="39"/>
    </row>
    <row r="645" spans="6:7" ht="15.75" customHeight="1" x14ac:dyDescent="0.2">
      <c r="F645" s="78"/>
      <c r="G645" s="39"/>
    </row>
    <row r="646" spans="6:7" ht="15.75" customHeight="1" x14ac:dyDescent="0.2">
      <c r="F646" s="78"/>
      <c r="G646" s="39"/>
    </row>
    <row r="647" spans="6:7" ht="15.75" customHeight="1" x14ac:dyDescent="0.2">
      <c r="F647" s="78"/>
      <c r="G647" s="39"/>
    </row>
    <row r="648" spans="6:7" ht="15.75" customHeight="1" x14ac:dyDescent="0.2">
      <c r="F648" s="78"/>
      <c r="G648" s="39"/>
    </row>
    <row r="649" spans="6:7" ht="15.75" customHeight="1" x14ac:dyDescent="0.2">
      <c r="F649" s="78"/>
      <c r="G649" s="39"/>
    </row>
    <row r="650" spans="6:7" ht="15.75" customHeight="1" x14ac:dyDescent="0.2">
      <c r="F650" s="78"/>
      <c r="G650" s="39"/>
    </row>
    <row r="651" spans="6:7" ht="15.75" customHeight="1" x14ac:dyDescent="0.2">
      <c r="F651" s="78"/>
      <c r="G651" s="39"/>
    </row>
    <row r="652" spans="6:7" ht="15.75" customHeight="1" x14ac:dyDescent="0.2">
      <c r="F652" s="78"/>
      <c r="G652" s="39"/>
    </row>
    <row r="653" spans="6:7" ht="15.75" customHeight="1" x14ac:dyDescent="0.2">
      <c r="F653" s="78"/>
      <c r="G653" s="39"/>
    </row>
    <row r="654" spans="6:7" ht="15.75" customHeight="1" x14ac:dyDescent="0.2">
      <c r="F654" s="78"/>
      <c r="G654" s="39"/>
    </row>
    <row r="655" spans="6:7" ht="15.75" customHeight="1" x14ac:dyDescent="0.2">
      <c r="F655" s="78"/>
      <c r="G655" s="39"/>
    </row>
    <row r="656" spans="6:7" ht="15.75" customHeight="1" x14ac:dyDescent="0.2">
      <c r="F656" s="78"/>
      <c r="G656" s="39"/>
    </row>
    <row r="657" spans="6:7" ht="15.75" customHeight="1" x14ac:dyDescent="0.2">
      <c r="F657" s="78"/>
      <c r="G657" s="39"/>
    </row>
    <row r="658" spans="6:7" ht="15.75" customHeight="1" x14ac:dyDescent="0.2">
      <c r="F658" s="78"/>
      <c r="G658" s="39"/>
    </row>
    <row r="659" spans="6:7" ht="15.75" customHeight="1" x14ac:dyDescent="0.2">
      <c r="F659" s="78"/>
      <c r="G659" s="39"/>
    </row>
    <row r="660" spans="6:7" ht="15.75" customHeight="1" x14ac:dyDescent="0.2">
      <c r="F660" s="78"/>
      <c r="G660" s="39"/>
    </row>
    <row r="661" spans="6:7" ht="15.75" customHeight="1" x14ac:dyDescent="0.2">
      <c r="F661" s="78"/>
      <c r="G661" s="39"/>
    </row>
    <row r="662" spans="6:7" ht="15.75" customHeight="1" x14ac:dyDescent="0.2">
      <c r="F662" s="78"/>
      <c r="G662" s="39"/>
    </row>
    <row r="663" spans="6:7" ht="15.75" customHeight="1" x14ac:dyDescent="0.2">
      <c r="F663" s="78"/>
      <c r="G663" s="39"/>
    </row>
    <row r="664" spans="6:7" ht="15.75" customHeight="1" x14ac:dyDescent="0.2">
      <c r="F664" s="78"/>
      <c r="G664" s="39"/>
    </row>
    <row r="665" spans="6:7" ht="15.75" customHeight="1" x14ac:dyDescent="0.2">
      <c r="F665" s="78"/>
      <c r="G665" s="39"/>
    </row>
    <row r="666" spans="6:7" ht="15.75" customHeight="1" x14ac:dyDescent="0.2">
      <c r="F666" s="78"/>
      <c r="G666" s="39"/>
    </row>
    <row r="667" spans="6:7" ht="15.75" customHeight="1" x14ac:dyDescent="0.2">
      <c r="F667" s="78"/>
      <c r="G667" s="39"/>
    </row>
    <row r="668" spans="6:7" ht="15.75" customHeight="1" x14ac:dyDescent="0.2">
      <c r="F668" s="78"/>
      <c r="G668" s="39"/>
    </row>
    <row r="669" spans="6:7" ht="15.75" customHeight="1" x14ac:dyDescent="0.2">
      <c r="F669" s="78"/>
      <c r="G669" s="39"/>
    </row>
    <row r="670" spans="6:7" ht="15.75" customHeight="1" x14ac:dyDescent="0.2">
      <c r="F670" s="78"/>
      <c r="G670" s="39"/>
    </row>
    <row r="671" spans="6:7" ht="15.75" customHeight="1" x14ac:dyDescent="0.2">
      <c r="F671" s="78"/>
      <c r="G671" s="39"/>
    </row>
    <row r="672" spans="6:7" ht="15.75" customHeight="1" x14ac:dyDescent="0.2">
      <c r="F672" s="78"/>
      <c r="G672" s="39"/>
    </row>
    <row r="673" spans="6:7" ht="15.75" customHeight="1" x14ac:dyDescent="0.2">
      <c r="F673" s="78"/>
      <c r="G673" s="39"/>
    </row>
    <row r="674" spans="6:7" ht="15.75" customHeight="1" x14ac:dyDescent="0.2">
      <c r="F674" s="78"/>
      <c r="G674" s="39"/>
    </row>
    <row r="675" spans="6:7" ht="15.75" customHeight="1" x14ac:dyDescent="0.2">
      <c r="F675" s="78"/>
      <c r="G675" s="39"/>
    </row>
    <row r="676" spans="6:7" ht="15.75" customHeight="1" x14ac:dyDescent="0.2">
      <c r="F676" s="78"/>
      <c r="G676" s="39"/>
    </row>
    <row r="677" spans="6:7" ht="15.75" customHeight="1" x14ac:dyDescent="0.2">
      <c r="F677" s="78"/>
      <c r="G677" s="39"/>
    </row>
    <row r="678" spans="6:7" ht="15.75" customHeight="1" x14ac:dyDescent="0.2">
      <c r="F678" s="78"/>
      <c r="G678" s="39"/>
    </row>
    <row r="679" spans="6:7" ht="15.75" customHeight="1" x14ac:dyDescent="0.2">
      <c r="F679" s="78"/>
      <c r="G679" s="39"/>
    </row>
    <row r="680" spans="6:7" ht="15.75" customHeight="1" x14ac:dyDescent="0.2">
      <c r="F680" s="78"/>
      <c r="G680" s="39"/>
    </row>
    <row r="681" spans="6:7" ht="15.75" customHeight="1" x14ac:dyDescent="0.2">
      <c r="F681" s="78"/>
      <c r="G681" s="39"/>
    </row>
    <row r="682" spans="6:7" ht="15.75" customHeight="1" x14ac:dyDescent="0.2">
      <c r="F682" s="78"/>
      <c r="G682" s="39"/>
    </row>
    <row r="683" spans="6:7" ht="15.75" customHeight="1" x14ac:dyDescent="0.2">
      <c r="F683" s="78"/>
      <c r="G683" s="39"/>
    </row>
    <row r="684" spans="6:7" ht="15.75" customHeight="1" x14ac:dyDescent="0.2">
      <c r="F684" s="78"/>
      <c r="G684" s="39"/>
    </row>
    <row r="685" spans="6:7" ht="15.75" customHeight="1" x14ac:dyDescent="0.2">
      <c r="F685" s="78"/>
      <c r="G685" s="39"/>
    </row>
    <row r="686" spans="6:7" ht="15.75" customHeight="1" x14ac:dyDescent="0.2">
      <c r="F686" s="78"/>
      <c r="G686" s="39"/>
    </row>
    <row r="687" spans="6:7" ht="15.75" customHeight="1" x14ac:dyDescent="0.2">
      <c r="F687" s="78"/>
      <c r="G687" s="39"/>
    </row>
    <row r="688" spans="6:7" ht="15.75" customHeight="1" x14ac:dyDescent="0.2">
      <c r="F688" s="78"/>
      <c r="G688" s="39"/>
    </row>
    <row r="689" spans="6:7" ht="15.75" customHeight="1" x14ac:dyDescent="0.2">
      <c r="F689" s="78"/>
      <c r="G689" s="39"/>
    </row>
    <row r="690" spans="6:7" ht="15.75" customHeight="1" x14ac:dyDescent="0.2">
      <c r="F690" s="78"/>
      <c r="G690" s="39"/>
    </row>
    <row r="691" spans="6:7" ht="15.75" customHeight="1" x14ac:dyDescent="0.2">
      <c r="F691" s="78"/>
      <c r="G691" s="39"/>
    </row>
    <row r="692" spans="6:7" ht="15.75" customHeight="1" x14ac:dyDescent="0.2">
      <c r="F692" s="78"/>
      <c r="G692" s="39"/>
    </row>
    <row r="693" spans="6:7" ht="15.75" customHeight="1" x14ac:dyDescent="0.2">
      <c r="F693" s="78"/>
      <c r="G693" s="39"/>
    </row>
    <row r="694" spans="6:7" ht="15.75" customHeight="1" x14ac:dyDescent="0.2">
      <c r="F694" s="78"/>
      <c r="G694" s="39"/>
    </row>
    <row r="695" spans="6:7" ht="15.75" customHeight="1" x14ac:dyDescent="0.2">
      <c r="F695" s="78"/>
      <c r="G695" s="39"/>
    </row>
    <row r="696" spans="6:7" ht="15.75" customHeight="1" x14ac:dyDescent="0.2">
      <c r="F696" s="78"/>
      <c r="G696" s="39"/>
    </row>
    <row r="697" spans="6:7" ht="15.75" customHeight="1" x14ac:dyDescent="0.2">
      <c r="F697" s="78"/>
      <c r="G697" s="39"/>
    </row>
    <row r="698" spans="6:7" ht="15.75" customHeight="1" x14ac:dyDescent="0.2">
      <c r="F698" s="78"/>
      <c r="G698" s="39"/>
    </row>
    <row r="699" spans="6:7" ht="15.75" customHeight="1" x14ac:dyDescent="0.2">
      <c r="F699" s="78"/>
      <c r="G699" s="39"/>
    </row>
    <row r="700" spans="6:7" ht="15.75" customHeight="1" x14ac:dyDescent="0.2">
      <c r="F700" s="78"/>
      <c r="G700" s="39"/>
    </row>
    <row r="701" spans="6:7" ht="15.75" customHeight="1" x14ac:dyDescent="0.2">
      <c r="F701" s="78"/>
      <c r="G701" s="39"/>
    </row>
    <row r="702" spans="6:7" ht="15.75" customHeight="1" x14ac:dyDescent="0.2">
      <c r="F702" s="78"/>
      <c r="G702" s="39"/>
    </row>
    <row r="703" spans="6:7" ht="15.75" customHeight="1" x14ac:dyDescent="0.2">
      <c r="F703" s="78"/>
      <c r="G703" s="39"/>
    </row>
    <row r="704" spans="6:7" ht="15.75" customHeight="1" x14ac:dyDescent="0.2">
      <c r="F704" s="78"/>
      <c r="G704" s="39"/>
    </row>
    <row r="705" spans="6:7" ht="15.75" customHeight="1" x14ac:dyDescent="0.2">
      <c r="F705" s="78"/>
      <c r="G705" s="39"/>
    </row>
    <row r="706" spans="6:7" ht="15.75" customHeight="1" x14ac:dyDescent="0.2">
      <c r="F706" s="78"/>
      <c r="G706" s="39"/>
    </row>
    <row r="707" spans="6:7" ht="15.75" customHeight="1" x14ac:dyDescent="0.2">
      <c r="F707" s="78"/>
      <c r="G707" s="39"/>
    </row>
    <row r="708" spans="6:7" ht="15.75" customHeight="1" x14ac:dyDescent="0.2">
      <c r="F708" s="78"/>
      <c r="G708" s="39"/>
    </row>
    <row r="709" spans="6:7" ht="15.75" customHeight="1" x14ac:dyDescent="0.2">
      <c r="F709" s="78"/>
      <c r="G709" s="39"/>
    </row>
    <row r="710" spans="6:7" ht="15.75" customHeight="1" x14ac:dyDescent="0.2">
      <c r="F710" s="78"/>
      <c r="G710" s="39"/>
    </row>
    <row r="711" spans="6:7" ht="15.75" customHeight="1" x14ac:dyDescent="0.2">
      <c r="F711" s="78"/>
      <c r="G711" s="39"/>
    </row>
    <row r="712" spans="6:7" ht="15.75" customHeight="1" x14ac:dyDescent="0.2">
      <c r="F712" s="78"/>
      <c r="G712" s="39"/>
    </row>
    <row r="713" spans="6:7" ht="15.75" customHeight="1" x14ac:dyDescent="0.2">
      <c r="F713" s="78"/>
      <c r="G713" s="39"/>
    </row>
    <row r="714" spans="6:7" ht="15.75" customHeight="1" x14ac:dyDescent="0.2">
      <c r="F714" s="78"/>
      <c r="G714" s="39"/>
    </row>
    <row r="715" spans="6:7" ht="15.75" customHeight="1" x14ac:dyDescent="0.2">
      <c r="F715" s="78"/>
      <c r="G715" s="39"/>
    </row>
    <row r="716" spans="6:7" ht="15.75" customHeight="1" x14ac:dyDescent="0.2">
      <c r="F716" s="78"/>
      <c r="G716" s="39"/>
    </row>
    <row r="717" spans="6:7" ht="15.75" customHeight="1" x14ac:dyDescent="0.2">
      <c r="F717" s="78"/>
      <c r="G717" s="39"/>
    </row>
    <row r="718" spans="6:7" ht="15.75" customHeight="1" x14ac:dyDescent="0.2">
      <c r="F718" s="78"/>
      <c r="G718" s="39"/>
    </row>
    <row r="719" spans="6:7" ht="15.75" customHeight="1" x14ac:dyDescent="0.2">
      <c r="F719" s="78"/>
      <c r="G719" s="39"/>
    </row>
    <row r="720" spans="6:7" ht="15.75" customHeight="1" x14ac:dyDescent="0.2">
      <c r="F720" s="78"/>
      <c r="G720" s="39"/>
    </row>
    <row r="721" spans="6:7" ht="15.75" customHeight="1" x14ac:dyDescent="0.2">
      <c r="F721" s="78"/>
      <c r="G721" s="39"/>
    </row>
    <row r="722" spans="6:7" ht="15.75" customHeight="1" x14ac:dyDescent="0.2">
      <c r="F722" s="78"/>
      <c r="G722" s="39"/>
    </row>
    <row r="723" spans="6:7" ht="15.75" customHeight="1" x14ac:dyDescent="0.2">
      <c r="F723" s="78"/>
      <c r="G723" s="39"/>
    </row>
    <row r="724" spans="6:7" ht="15.75" customHeight="1" x14ac:dyDescent="0.2">
      <c r="F724" s="78"/>
      <c r="G724" s="39"/>
    </row>
    <row r="725" spans="6:7" ht="15.75" customHeight="1" x14ac:dyDescent="0.2">
      <c r="F725" s="78"/>
      <c r="G725" s="39"/>
    </row>
    <row r="726" spans="6:7" ht="15.75" customHeight="1" x14ac:dyDescent="0.2">
      <c r="F726" s="78"/>
      <c r="G726" s="39"/>
    </row>
    <row r="727" spans="6:7" ht="15.75" customHeight="1" x14ac:dyDescent="0.2">
      <c r="F727" s="78"/>
      <c r="G727" s="39"/>
    </row>
    <row r="728" spans="6:7" ht="15.75" customHeight="1" x14ac:dyDescent="0.2">
      <c r="F728" s="78"/>
      <c r="G728" s="39"/>
    </row>
    <row r="729" spans="6:7" ht="15.75" customHeight="1" x14ac:dyDescent="0.2">
      <c r="F729" s="78"/>
      <c r="G729" s="39"/>
    </row>
    <row r="730" spans="6:7" ht="15.75" customHeight="1" x14ac:dyDescent="0.2">
      <c r="F730" s="78"/>
      <c r="G730" s="39"/>
    </row>
    <row r="731" spans="6:7" ht="15.75" customHeight="1" x14ac:dyDescent="0.2">
      <c r="F731" s="78"/>
      <c r="G731" s="39"/>
    </row>
    <row r="732" spans="6:7" ht="15.75" customHeight="1" x14ac:dyDescent="0.2">
      <c r="F732" s="78"/>
      <c r="G732" s="39"/>
    </row>
    <row r="733" spans="6:7" ht="15.75" customHeight="1" x14ac:dyDescent="0.2">
      <c r="F733" s="78"/>
      <c r="G733" s="39"/>
    </row>
    <row r="734" spans="6:7" ht="15.75" customHeight="1" x14ac:dyDescent="0.2">
      <c r="F734" s="78"/>
      <c r="G734" s="39"/>
    </row>
    <row r="735" spans="6:7" ht="15.75" customHeight="1" x14ac:dyDescent="0.2">
      <c r="F735" s="78"/>
      <c r="G735" s="39"/>
    </row>
    <row r="736" spans="6:7" ht="15.75" customHeight="1" x14ac:dyDescent="0.2">
      <c r="F736" s="78"/>
      <c r="G736" s="39"/>
    </row>
    <row r="737" spans="6:7" ht="15.75" customHeight="1" x14ac:dyDescent="0.2">
      <c r="F737" s="78"/>
      <c r="G737" s="39"/>
    </row>
    <row r="738" spans="6:7" ht="15.75" customHeight="1" x14ac:dyDescent="0.2">
      <c r="F738" s="78"/>
      <c r="G738" s="39"/>
    </row>
    <row r="739" spans="6:7" ht="15.75" customHeight="1" x14ac:dyDescent="0.2">
      <c r="F739" s="78"/>
      <c r="G739" s="39"/>
    </row>
    <row r="740" spans="6:7" ht="15.75" customHeight="1" x14ac:dyDescent="0.2">
      <c r="F740" s="78"/>
      <c r="G740" s="39"/>
    </row>
    <row r="741" spans="6:7" ht="15.75" customHeight="1" x14ac:dyDescent="0.2">
      <c r="F741" s="78"/>
      <c r="G741" s="39"/>
    </row>
    <row r="742" spans="6:7" ht="15.75" customHeight="1" x14ac:dyDescent="0.2">
      <c r="F742" s="78"/>
      <c r="G742" s="39"/>
    </row>
    <row r="743" spans="6:7" ht="15.75" customHeight="1" x14ac:dyDescent="0.2">
      <c r="F743" s="78"/>
      <c r="G743" s="39"/>
    </row>
    <row r="744" spans="6:7" ht="15.75" customHeight="1" x14ac:dyDescent="0.2">
      <c r="F744" s="78"/>
      <c r="G744" s="39"/>
    </row>
    <row r="745" spans="6:7" ht="15.75" customHeight="1" x14ac:dyDescent="0.2">
      <c r="F745" s="78"/>
      <c r="G745" s="39"/>
    </row>
    <row r="746" spans="6:7" ht="15.75" customHeight="1" x14ac:dyDescent="0.2">
      <c r="F746" s="78"/>
      <c r="G746" s="39"/>
    </row>
    <row r="747" spans="6:7" ht="15.75" customHeight="1" x14ac:dyDescent="0.2">
      <c r="F747" s="78"/>
      <c r="G747" s="39"/>
    </row>
    <row r="748" spans="6:7" ht="15.75" customHeight="1" x14ac:dyDescent="0.2">
      <c r="F748" s="78"/>
      <c r="G748" s="39"/>
    </row>
    <row r="749" spans="6:7" ht="15.75" customHeight="1" x14ac:dyDescent="0.2">
      <c r="F749" s="78"/>
      <c r="G749" s="39"/>
    </row>
    <row r="750" spans="6:7" ht="15.75" customHeight="1" x14ac:dyDescent="0.2">
      <c r="F750" s="78"/>
      <c r="G750" s="39"/>
    </row>
    <row r="751" spans="6:7" ht="15.75" customHeight="1" x14ac:dyDescent="0.2">
      <c r="F751" s="78"/>
      <c r="G751" s="39"/>
    </row>
    <row r="752" spans="6:7" ht="15.75" customHeight="1" x14ac:dyDescent="0.2">
      <c r="F752" s="78"/>
      <c r="G752" s="39"/>
    </row>
    <row r="753" spans="6:7" ht="15.75" customHeight="1" x14ac:dyDescent="0.2">
      <c r="F753" s="78"/>
      <c r="G753" s="39"/>
    </row>
    <row r="754" spans="6:7" ht="15.75" customHeight="1" x14ac:dyDescent="0.2">
      <c r="F754" s="78"/>
      <c r="G754" s="39"/>
    </row>
    <row r="755" spans="6:7" ht="15.75" customHeight="1" x14ac:dyDescent="0.2">
      <c r="F755" s="78"/>
      <c r="G755" s="39"/>
    </row>
    <row r="756" spans="6:7" ht="15.75" customHeight="1" x14ac:dyDescent="0.2">
      <c r="F756" s="78"/>
      <c r="G756" s="39"/>
    </row>
    <row r="757" spans="6:7" ht="15.75" customHeight="1" x14ac:dyDescent="0.2">
      <c r="F757" s="78"/>
      <c r="G757" s="39"/>
    </row>
    <row r="758" spans="6:7" ht="15.75" customHeight="1" x14ac:dyDescent="0.2">
      <c r="F758" s="78"/>
      <c r="G758" s="39"/>
    </row>
    <row r="759" spans="6:7" ht="15.75" customHeight="1" x14ac:dyDescent="0.2">
      <c r="F759" s="78"/>
      <c r="G759" s="39"/>
    </row>
    <row r="760" spans="6:7" ht="15.75" customHeight="1" x14ac:dyDescent="0.2">
      <c r="F760" s="78"/>
      <c r="G760" s="39"/>
    </row>
    <row r="761" spans="6:7" ht="15.75" customHeight="1" x14ac:dyDescent="0.2">
      <c r="F761" s="78"/>
      <c r="G761" s="39"/>
    </row>
    <row r="762" spans="6:7" ht="15.75" customHeight="1" x14ac:dyDescent="0.2">
      <c r="F762" s="78"/>
      <c r="G762" s="39"/>
    </row>
    <row r="763" spans="6:7" ht="15.75" customHeight="1" x14ac:dyDescent="0.2">
      <c r="F763" s="78"/>
      <c r="G763" s="39"/>
    </row>
    <row r="764" spans="6:7" ht="15.75" customHeight="1" x14ac:dyDescent="0.2">
      <c r="F764" s="78"/>
      <c r="G764" s="39"/>
    </row>
    <row r="765" spans="6:7" ht="15.75" customHeight="1" x14ac:dyDescent="0.2">
      <c r="F765" s="78"/>
      <c r="G765" s="39"/>
    </row>
    <row r="766" spans="6:7" ht="15.75" customHeight="1" x14ac:dyDescent="0.2">
      <c r="F766" s="78"/>
      <c r="G766" s="39"/>
    </row>
    <row r="767" spans="6:7" ht="15.75" customHeight="1" x14ac:dyDescent="0.2">
      <c r="F767" s="78"/>
      <c r="G767" s="39"/>
    </row>
    <row r="768" spans="6:7" ht="15.75" customHeight="1" x14ac:dyDescent="0.2">
      <c r="F768" s="78"/>
      <c r="G768" s="39"/>
    </row>
    <row r="769" spans="6:7" ht="15.75" customHeight="1" x14ac:dyDescent="0.2">
      <c r="F769" s="78"/>
      <c r="G769" s="39"/>
    </row>
    <row r="770" spans="6:7" ht="15.75" customHeight="1" x14ac:dyDescent="0.2">
      <c r="F770" s="78"/>
      <c r="G770" s="39"/>
    </row>
    <row r="771" spans="6:7" ht="15.75" customHeight="1" x14ac:dyDescent="0.2">
      <c r="F771" s="78"/>
      <c r="G771" s="39"/>
    </row>
    <row r="772" spans="6:7" ht="15.75" customHeight="1" x14ac:dyDescent="0.2">
      <c r="F772" s="78"/>
      <c r="G772" s="39"/>
    </row>
    <row r="773" spans="6:7" ht="15.75" customHeight="1" x14ac:dyDescent="0.2">
      <c r="F773" s="78"/>
      <c r="G773" s="39"/>
    </row>
    <row r="774" spans="6:7" ht="15.75" customHeight="1" x14ac:dyDescent="0.2">
      <c r="F774" s="78"/>
      <c r="G774" s="39"/>
    </row>
    <row r="775" spans="6:7" ht="15.75" customHeight="1" x14ac:dyDescent="0.2">
      <c r="F775" s="78"/>
      <c r="G775" s="39"/>
    </row>
    <row r="776" spans="6:7" ht="15.75" customHeight="1" x14ac:dyDescent="0.2">
      <c r="F776" s="78"/>
      <c r="G776" s="39"/>
    </row>
    <row r="777" spans="6:7" ht="15.75" customHeight="1" x14ac:dyDescent="0.2">
      <c r="F777" s="78"/>
      <c r="G777" s="39"/>
    </row>
    <row r="778" spans="6:7" ht="15.75" customHeight="1" x14ac:dyDescent="0.2">
      <c r="F778" s="78"/>
      <c r="G778" s="39"/>
    </row>
    <row r="779" spans="6:7" ht="15.75" customHeight="1" x14ac:dyDescent="0.2">
      <c r="F779" s="78"/>
      <c r="G779" s="39"/>
    </row>
    <row r="780" spans="6:7" ht="15.75" customHeight="1" x14ac:dyDescent="0.2">
      <c r="F780" s="78"/>
      <c r="G780" s="39"/>
    </row>
    <row r="781" spans="6:7" ht="15.75" customHeight="1" x14ac:dyDescent="0.2">
      <c r="F781" s="78"/>
      <c r="G781" s="39"/>
    </row>
    <row r="782" spans="6:7" ht="15.75" customHeight="1" x14ac:dyDescent="0.2">
      <c r="F782" s="78"/>
      <c r="G782" s="39"/>
    </row>
    <row r="783" spans="6:7" ht="15.75" customHeight="1" x14ac:dyDescent="0.2">
      <c r="F783" s="78"/>
      <c r="G783" s="39"/>
    </row>
    <row r="784" spans="6:7" ht="15.75" customHeight="1" x14ac:dyDescent="0.2">
      <c r="F784" s="78"/>
      <c r="G784" s="39"/>
    </row>
    <row r="785" spans="6:7" ht="15.75" customHeight="1" x14ac:dyDescent="0.2">
      <c r="F785" s="78"/>
      <c r="G785" s="39"/>
    </row>
    <row r="786" spans="6:7" ht="15.75" customHeight="1" x14ac:dyDescent="0.2">
      <c r="F786" s="78"/>
      <c r="G786" s="39"/>
    </row>
    <row r="787" spans="6:7" ht="15.75" customHeight="1" x14ac:dyDescent="0.2">
      <c r="F787" s="78"/>
      <c r="G787" s="39"/>
    </row>
    <row r="788" spans="6:7" ht="15.75" customHeight="1" x14ac:dyDescent="0.2">
      <c r="F788" s="78"/>
      <c r="G788" s="39"/>
    </row>
    <row r="789" spans="6:7" ht="15.75" customHeight="1" x14ac:dyDescent="0.2">
      <c r="F789" s="78"/>
      <c r="G789" s="39"/>
    </row>
    <row r="790" spans="6:7" ht="15.75" customHeight="1" x14ac:dyDescent="0.2">
      <c r="F790" s="78"/>
      <c r="G790" s="39"/>
    </row>
    <row r="791" spans="6:7" ht="15.75" customHeight="1" x14ac:dyDescent="0.2">
      <c r="F791" s="78"/>
      <c r="G791" s="39"/>
    </row>
    <row r="792" spans="6:7" ht="15.75" customHeight="1" x14ac:dyDescent="0.2">
      <c r="F792" s="78"/>
      <c r="G792" s="39"/>
    </row>
    <row r="793" spans="6:7" ht="15.75" customHeight="1" x14ac:dyDescent="0.2">
      <c r="F793" s="78"/>
      <c r="G793" s="39"/>
    </row>
    <row r="794" spans="6:7" ht="15.75" customHeight="1" x14ac:dyDescent="0.2">
      <c r="F794" s="78"/>
      <c r="G794" s="39"/>
    </row>
    <row r="795" spans="6:7" ht="15.75" customHeight="1" x14ac:dyDescent="0.2">
      <c r="F795" s="78"/>
      <c r="G795" s="39"/>
    </row>
    <row r="796" spans="6:7" ht="15.75" customHeight="1" x14ac:dyDescent="0.2">
      <c r="F796" s="78"/>
      <c r="G796" s="39"/>
    </row>
    <row r="797" spans="6:7" ht="15.75" customHeight="1" x14ac:dyDescent="0.2">
      <c r="F797" s="78"/>
      <c r="G797" s="39"/>
    </row>
    <row r="798" spans="6:7" ht="15.75" customHeight="1" x14ac:dyDescent="0.2">
      <c r="F798" s="78"/>
      <c r="G798" s="39"/>
    </row>
    <row r="799" spans="6:7" ht="15.75" customHeight="1" x14ac:dyDescent="0.2">
      <c r="F799" s="78"/>
      <c r="G799" s="39"/>
    </row>
    <row r="800" spans="6:7" ht="15.75" customHeight="1" x14ac:dyDescent="0.2">
      <c r="F800" s="78"/>
      <c r="G800" s="39"/>
    </row>
    <row r="801" spans="6:7" ht="15.75" customHeight="1" x14ac:dyDescent="0.2">
      <c r="F801" s="78"/>
      <c r="G801" s="39"/>
    </row>
    <row r="802" spans="6:7" ht="15.75" customHeight="1" x14ac:dyDescent="0.2">
      <c r="F802" s="78"/>
      <c r="G802" s="39"/>
    </row>
    <row r="803" spans="6:7" ht="15.75" customHeight="1" x14ac:dyDescent="0.2">
      <c r="F803" s="78"/>
      <c r="G803" s="39"/>
    </row>
    <row r="804" spans="6:7" ht="15.75" customHeight="1" x14ac:dyDescent="0.2">
      <c r="F804" s="78"/>
      <c r="G804" s="39"/>
    </row>
    <row r="805" spans="6:7" ht="15.75" customHeight="1" x14ac:dyDescent="0.2">
      <c r="F805" s="78"/>
      <c r="G805" s="39"/>
    </row>
    <row r="806" spans="6:7" ht="15.75" customHeight="1" x14ac:dyDescent="0.2">
      <c r="F806" s="78"/>
      <c r="G806" s="39"/>
    </row>
    <row r="807" spans="6:7" ht="15.75" customHeight="1" x14ac:dyDescent="0.2">
      <c r="F807" s="78"/>
      <c r="G807" s="39"/>
    </row>
    <row r="808" spans="6:7" ht="15.75" customHeight="1" x14ac:dyDescent="0.2">
      <c r="F808" s="78"/>
      <c r="G808" s="39"/>
    </row>
    <row r="809" spans="6:7" ht="15.75" customHeight="1" x14ac:dyDescent="0.2">
      <c r="F809" s="78"/>
      <c r="G809" s="39"/>
    </row>
    <row r="810" spans="6:7" ht="15.75" customHeight="1" x14ac:dyDescent="0.2">
      <c r="F810" s="78"/>
      <c r="G810" s="39"/>
    </row>
    <row r="811" spans="6:7" ht="15.75" customHeight="1" x14ac:dyDescent="0.2">
      <c r="F811" s="78"/>
      <c r="G811" s="39"/>
    </row>
    <row r="812" spans="6:7" ht="15.75" customHeight="1" x14ac:dyDescent="0.2">
      <c r="F812" s="78"/>
      <c r="G812" s="39"/>
    </row>
    <row r="813" spans="6:7" ht="15.75" customHeight="1" x14ac:dyDescent="0.2">
      <c r="F813" s="78"/>
      <c r="G813" s="39"/>
    </row>
    <row r="814" spans="6:7" ht="15.75" customHeight="1" x14ac:dyDescent="0.2">
      <c r="F814" s="78"/>
      <c r="G814" s="39"/>
    </row>
    <row r="815" spans="6:7" ht="15.75" customHeight="1" x14ac:dyDescent="0.2">
      <c r="F815" s="78"/>
      <c r="G815" s="39"/>
    </row>
    <row r="816" spans="6:7" ht="15.75" customHeight="1" x14ac:dyDescent="0.2">
      <c r="F816" s="78"/>
      <c r="G816" s="39"/>
    </row>
    <row r="817" spans="6:7" ht="15.75" customHeight="1" x14ac:dyDescent="0.2">
      <c r="F817" s="78"/>
      <c r="G817" s="39"/>
    </row>
    <row r="818" spans="6:7" ht="15.75" customHeight="1" x14ac:dyDescent="0.2">
      <c r="F818" s="78"/>
      <c r="G818" s="39"/>
    </row>
    <row r="819" spans="6:7" ht="15.75" customHeight="1" x14ac:dyDescent="0.2">
      <c r="F819" s="78"/>
      <c r="G819" s="39"/>
    </row>
    <row r="820" spans="6:7" ht="15.75" customHeight="1" x14ac:dyDescent="0.2">
      <c r="F820" s="78"/>
      <c r="G820" s="39"/>
    </row>
    <row r="821" spans="6:7" ht="15.75" customHeight="1" x14ac:dyDescent="0.2">
      <c r="F821" s="78"/>
      <c r="G821" s="39"/>
    </row>
    <row r="822" spans="6:7" ht="15.75" customHeight="1" x14ac:dyDescent="0.2">
      <c r="F822" s="78"/>
      <c r="G822" s="39"/>
    </row>
    <row r="823" spans="6:7" ht="15.75" customHeight="1" x14ac:dyDescent="0.2">
      <c r="F823" s="78"/>
      <c r="G823" s="39"/>
    </row>
    <row r="824" spans="6:7" ht="15.75" customHeight="1" x14ac:dyDescent="0.2">
      <c r="F824" s="78"/>
      <c r="G824" s="39"/>
    </row>
    <row r="825" spans="6:7" ht="15.75" customHeight="1" x14ac:dyDescent="0.2">
      <c r="F825" s="78"/>
      <c r="G825" s="39"/>
    </row>
    <row r="826" spans="6:7" ht="15.75" customHeight="1" x14ac:dyDescent="0.2">
      <c r="F826" s="78"/>
      <c r="G826" s="39"/>
    </row>
    <row r="827" spans="6:7" ht="15.75" customHeight="1" x14ac:dyDescent="0.2">
      <c r="F827" s="78"/>
      <c r="G827" s="39"/>
    </row>
    <row r="828" spans="6:7" ht="15.75" customHeight="1" x14ac:dyDescent="0.2">
      <c r="F828" s="78"/>
      <c r="G828" s="39"/>
    </row>
    <row r="829" spans="6:7" ht="15.75" customHeight="1" x14ac:dyDescent="0.2">
      <c r="F829" s="78"/>
      <c r="G829" s="39"/>
    </row>
    <row r="830" spans="6:7" ht="15.75" customHeight="1" x14ac:dyDescent="0.2">
      <c r="F830" s="78"/>
      <c r="G830" s="39"/>
    </row>
    <row r="831" spans="6:7" ht="15.75" customHeight="1" x14ac:dyDescent="0.2">
      <c r="F831" s="78"/>
      <c r="G831" s="39"/>
    </row>
    <row r="832" spans="6:7" ht="15.75" customHeight="1" x14ac:dyDescent="0.2">
      <c r="F832" s="78"/>
      <c r="G832" s="39"/>
    </row>
    <row r="833" spans="6:7" ht="15.75" customHeight="1" x14ac:dyDescent="0.2">
      <c r="F833" s="78"/>
      <c r="G833" s="39"/>
    </row>
    <row r="834" spans="6:7" ht="15.75" customHeight="1" x14ac:dyDescent="0.2">
      <c r="F834" s="78"/>
      <c r="G834" s="39"/>
    </row>
    <row r="835" spans="6:7" ht="15.75" customHeight="1" x14ac:dyDescent="0.2">
      <c r="F835" s="78"/>
      <c r="G835" s="39"/>
    </row>
    <row r="836" spans="6:7" ht="15.75" customHeight="1" x14ac:dyDescent="0.2">
      <c r="F836" s="78"/>
      <c r="G836" s="39"/>
    </row>
    <row r="837" spans="6:7" ht="15.75" customHeight="1" x14ac:dyDescent="0.2">
      <c r="F837" s="78"/>
      <c r="G837" s="39"/>
    </row>
    <row r="838" spans="6:7" ht="15.75" customHeight="1" x14ac:dyDescent="0.2">
      <c r="F838" s="78"/>
      <c r="G838" s="39"/>
    </row>
    <row r="839" spans="6:7" ht="15.75" customHeight="1" x14ac:dyDescent="0.2">
      <c r="F839" s="78"/>
      <c r="G839" s="39"/>
    </row>
    <row r="840" spans="6:7" ht="15.75" customHeight="1" x14ac:dyDescent="0.2">
      <c r="F840" s="78"/>
      <c r="G840" s="39"/>
    </row>
    <row r="841" spans="6:7" ht="15.75" customHeight="1" x14ac:dyDescent="0.2">
      <c r="F841" s="78"/>
      <c r="G841" s="39"/>
    </row>
    <row r="842" spans="6:7" ht="15.75" customHeight="1" x14ac:dyDescent="0.2">
      <c r="F842" s="78"/>
      <c r="G842" s="39"/>
    </row>
    <row r="843" spans="6:7" ht="15.75" customHeight="1" x14ac:dyDescent="0.2">
      <c r="F843" s="78"/>
      <c r="G843" s="39"/>
    </row>
    <row r="844" spans="6:7" ht="15.75" customHeight="1" x14ac:dyDescent="0.2">
      <c r="F844" s="78"/>
      <c r="G844" s="39"/>
    </row>
    <row r="845" spans="6:7" ht="15.75" customHeight="1" x14ac:dyDescent="0.2">
      <c r="F845" s="78"/>
      <c r="G845" s="39"/>
    </row>
    <row r="846" spans="6:7" ht="15.75" customHeight="1" x14ac:dyDescent="0.2">
      <c r="F846" s="78"/>
      <c r="G846" s="39"/>
    </row>
    <row r="847" spans="6:7" ht="15.75" customHeight="1" x14ac:dyDescent="0.2">
      <c r="F847" s="78"/>
      <c r="G847" s="39"/>
    </row>
    <row r="848" spans="6:7" ht="15.75" customHeight="1" x14ac:dyDescent="0.2">
      <c r="F848" s="78"/>
      <c r="G848" s="39"/>
    </row>
    <row r="849" spans="6:7" ht="15.75" customHeight="1" x14ac:dyDescent="0.2">
      <c r="F849" s="78"/>
      <c r="G849" s="39"/>
    </row>
    <row r="850" spans="6:7" ht="15.75" customHeight="1" x14ac:dyDescent="0.2">
      <c r="F850" s="78"/>
      <c r="G850" s="39"/>
    </row>
    <row r="851" spans="6:7" ht="15.75" customHeight="1" x14ac:dyDescent="0.2">
      <c r="F851" s="78"/>
      <c r="G851" s="39"/>
    </row>
    <row r="852" spans="6:7" ht="15.75" customHeight="1" x14ac:dyDescent="0.2">
      <c r="F852" s="78"/>
      <c r="G852" s="39"/>
    </row>
    <row r="853" spans="6:7" ht="15.75" customHeight="1" x14ac:dyDescent="0.2">
      <c r="F853" s="78"/>
      <c r="G853" s="39"/>
    </row>
    <row r="854" spans="6:7" ht="15.75" customHeight="1" x14ac:dyDescent="0.2">
      <c r="F854" s="78"/>
      <c r="G854" s="39"/>
    </row>
    <row r="855" spans="6:7" ht="15.75" customHeight="1" x14ac:dyDescent="0.2">
      <c r="F855" s="78"/>
      <c r="G855" s="39"/>
    </row>
    <row r="856" spans="6:7" ht="15.75" customHeight="1" x14ac:dyDescent="0.2">
      <c r="F856" s="78"/>
      <c r="G856" s="39"/>
    </row>
    <row r="857" spans="6:7" ht="15.75" customHeight="1" x14ac:dyDescent="0.2">
      <c r="F857" s="78"/>
      <c r="G857" s="39"/>
    </row>
    <row r="858" spans="6:7" ht="15.75" customHeight="1" x14ac:dyDescent="0.2">
      <c r="F858" s="78"/>
      <c r="G858" s="39"/>
    </row>
    <row r="859" spans="6:7" ht="15.75" customHeight="1" x14ac:dyDescent="0.2">
      <c r="F859" s="78"/>
      <c r="G859" s="39"/>
    </row>
    <row r="860" spans="6:7" ht="15.75" customHeight="1" x14ac:dyDescent="0.2">
      <c r="F860" s="78"/>
      <c r="G860" s="39"/>
    </row>
    <row r="861" spans="6:7" ht="15.75" customHeight="1" x14ac:dyDescent="0.2">
      <c r="F861" s="78"/>
      <c r="G861" s="39"/>
    </row>
    <row r="862" spans="6:7" ht="15.75" customHeight="1" x14ac:dyDescent="0.2">
      <c r="F862" s="78"/>
      <c r="G862" s="39"/>
    </row>
    <row r="863" spans="6:7" ht="15.75" customHeight="1" x14ac:dyDescent="0.2">
      <c r="F863" s="78"/>
      <c r="G863" s="39"/>
    </row>
    <row r="864" spans="6:7" ht="15.75" customHeight="1" x14ac:dyDescent="0.2">
      <c r="F864" s="78"/>
      <c r="G864" s="39"/>
    </row>
    <row r="865" spans="6:7" ht="15.75" customHeight="1" x14ac:dyDescent="0.2">
      <c r="F865" s="78"/>
      <c r="G865" s="39"/>
    </row>
    <row r="866" spans="6:7" ht="15.75" customHeight="1" x14ac:dyDescent="0.2">
      <c r="F866" s="78"/>
      <c r="G866" s="39"/>
    </row>
    <row r="867" spans="6:7" ht="15.75" customHeight="1" x14ac:dyDescent="0.2">
      <c r="F867" s="78"/>
      <c r="G867" s="39"/>
    </row>
    <row r="868" spans="6:7" ht="15.75" customHeight="1" x14ac:dyDescent="0.2">
      <c r="F868" s="78"/>
      <c r="G868" s="39"/>
    </row>
    <row r="869" spans="6:7" ht="15.75" customHeight="1" x14ac:dyDescent="0.2">
      <c r="F869" s="78"/>
      <c r="G869" s="39"/>
    </row>
    <row r="870" spans="6:7" ht="15.75" customHeight="1" x14ac:dyDescent="0.2">
      <c r="F870" s="78"/>
      <c r="G870" s="39"/>
    </row>
    <row r="871" spans="6:7" ht="15.75" customHeight="1" x14ac:dyDescent="0.2">
      <c r="F871" s="78"/>
      <c r="G871" s="39"/>
    </row>
    <row r="872" spans="6:7" ht="15.75" customHeight="1" x14ac:dyDescent="0.2">
      <c r="F872" s="78"/>
      <c r="G872" s="39"/>
    </row>
    <row r="873" spans="6:7" ht="15.75" customHeight="1" x14ac:dyDescent="0.2">
      <c r="F873" s="78"/>
      <c r="G873" s="39"/>
    </row>
    <row r="874" spans="6:7" ht="15.75" customHeight="1" x14ac:dyDescent="0.2">
      <c r="F874" s="78"/>
      <c r="G874" s="39"/>
    </row>
    <row r="875" spans="6:7" ht="15.75" customHeight="1" x14ac:dyDescent="0.2">
      <c r="F875" s="78"/>
      <c r="G875" s="39"/>
    </row>
    <row r="876" spans="6:7" ht="15.75" customHeight="1" x14ac:dyDescent="0.2">
      <c r="F876" s="78"/>
      <c r="G876" s="39"/>
    </row>
    <row r="877" spans="6:7" ht="15.75" customHeight="1" x14ac:dyDescent="0.2">
      <c r="F877" s="78"/>
      <c r="G877" s="39"/>
    </row>
    <row r="878" spans="6:7" ht="15.75" customHeight="1" x14ac:dyDescent="0.2">
      <c r="F878" s="78"/>
      <c r="G878" s="39"/>
    </row>
    <row r="879" spans="6:7" ht="15.75" customHeight="1" x14ac:dyDescent="0.2">
      <c r="F879" s="78"/>
      <c r="G879" s="39"/>
    </row>
    <row r="880" spans="6:7" ht="15.75" customHeight="1" x14ac:dyDescent="0.2">
      <c r="F880" s="78"/>
      <c r="G880" s="39"/>
    </row>
    <row r="881" spans="6:7" ht="15.75" customHeight="1" x14ac:dyDescent="0.2">
      <c r="F881" s="78"/>
      <c r="G881" s="39"/>
    </row>
    <row r="882" spans="6:7" ht="15.75" customHeight="1" x14ac:dyDescent="0.2">
      <c r="F882" s="78"/>
      <c r="G882" s="39"/>
    </row>
    <row r="883" spans="6:7" ht="15.75" customHeight="1" x14ac:dyDescent="0.2">
      <c r="F883" s="78"/>
      <c r="G883" s="39"/>
    </row>
    <row r="884" spans="6:7" ht="15.75" customHeight="1" x14ac:dyDescent="0.2">
      <c r="F884" s="78"/>
      <c r="G884" s="39"/>
    </row>
    <row r="885" spans="6:7" ht="15.75" customHeight="1" x14ac:dyDescent="0.2">
      <c r="F885" s="78"/>
      <c r="G885" s="39"/>
    </row>
    <row r="886" spans="6:7" ht="15.75" customHeight="1" x14ac:dyDescent="0.2">
      <c r="F886" s="78"/>
      <c r="G886" s="39"/>
    </row>
    <row r="887" spans="6:7" ht="15.75" customHeight="1" x14ac:dyDescent="0.2">
      <c r="F887" s="78"/>
      <c r="G887" s="39"/>
    </row>
    <row r="888" spans="6:7" ht="15.75" customHeight="1" x14ac:dyDescent="0.2">
      <c r="F888" s="78"/>
      <c r="G888" s="39"/>
    </row>
    <row r="889" spans="6:7" ht="15.75" customHeight="1" x14ac:dyDescent="0.2">
      <c r="F889" s="78"/>
      <c r="G889" s="39"/>
    </row>
    <row r="890" spans="6:7" ht="15.75" customHeight="1" x14ac:dyDescent="0.2">
      <c r="F890" s="78"/>
      <c r="G890" s="39"/>
    </row>
    <row r="891" spans="6:7" ht="15.75" customHeight="1" x14ac:dyDescent="0.2">
      <c r="F891" s="78"/>
      <c r="G891" s="39"/>
    </row>
    <row r="892" spans="6:7" ht="15.75" customHeight="1" x14ac:dyDescent="0.2">
      <c r="F892" s="78"/>
      <c r="G892" s="39"/>
    </row>
    <row r="893" spans="6:7" ht="15.75" customHeight="1" x14ac:dyDescent="0.2">
      <c r="F893" s="78"/>
      <c r="G893" s="39"/>
    </row>
    <row r="894" spans="6:7" ht="15.75" customHeight="1" x14ac:dyDescent="0.2">
      <c r="F894" s="78"/>
      <c r="G894" s="39"/>
    </row>
    <row r="895" spans="6:7" ht="15.75" customHeight="1" x14ac:dyDescent="0.2">
      <c r="F895" s="78"/>
      <c r="G895" s="39"/>
    </row>
    <row r="896" spans="6:7" ht="15.75" customHeight="1" x14ac:dyDescent="0.2">
      <c r="F896" s="78"/>
      <c r="G896" s="39"/>
    </row>
    <row r="897" spans="6:7" ht="15.75" customHeight="1" x14ac:dyDescent="0.2">
      <c r="F897" s="78"/>
      <c r="G897" s="39"/>
    </row>
    <row r="898" spans="6:7" ht="15.75" customHeight="1" x14ac:dyDescent="0.2">
      <c r="F898" s="78"/>
      <c r="G898" s="39"/>
    </row>
    <row r="899" spans="6:7" ht="15.75" customHeight="1" x14ac:dyDescent="0.2">
      <c r="F899" s="78"/>
      <c r="G899" s="39"/>
    </row>
    <row r="900" spans="6:7" ht="15.75" customHeight="1" x14ac:dyDescent="0.2">
      <c r="F900" s="78"/>
      <c r="G900" s="39"/>
    </row>
    <row r="901" spans="6:7" ht="15.75" customHeight="1" x14ac:dyDescent="0.2">
      <c r="F901" s="78"/>
      <c r="G901" s="39"/>
    </row>
    <row r="902" spans="6:7" ht="15.75" customHeight="1" x14ac:dyDescent="0.2">
      <c r="F902" s="78"/>
      <c r="G902" s="39"/>
    </row>
    <row r="903" spans="6:7" ht="15.75" customHeight="1" x14ac:dyDescent="0.2">
      <c r="F903" s="78"/>
      <c r="G903" s="39"/>
    </row>
    <row r="904" spans="6:7" ht="15.75" customHeight="1" x14ac:dyDescent="0.2">
      <c r="F904" s="78"/>
      <c r="G904" s="39"/>
    </row>
    <row r="905" spans="6:7" ht="15.75" customHeight="1" x14ac:dyDescent="0.2">
      <c r="F905" s="78"/>
      <c r="G905" s="39"/>
    </row>
    <row r="906" spans="6:7" ht="15.75" customHeight="1" x14ac:dyDescent="0.2">
      <c r="F906" s="78"/>
      <c r="G906" s="39"/>
    </row>
    <row r="907" spans="6:7" ht="15.75" customHeight="1" x14ac:dyDescent="0.2">
      <c r="F907" s="78"/>
      <c r="G907" s="39"/>
    </row>
    <row r="908" spans="6:7" ht="15.75" customHeight="1" x14ac:dyDescent="0.2">
      <c r="F908" s="78"/>
      <c r="G908" s="39"/>
    </row>
    <row r="909" spans="6:7" ht="15.75" customHeight="1" x14ac:dyDescent="0.2">
      <c r="F909" s="78"/>
      <c r="G909" s="39"/>
    </row>
    <row r="910" spans="6:7" ht="15.75" customHeight="1" x14ac:dyDescent="0.2">
      <c r="F910" s="78"/>
      <c r="G910" s="39"/>
    </row>
    <row r="911" spans="6:7" ht="15.75" customHeight="1" x14ac:dyDescent="0.2">
      <c r="F911" s="78"/>
      <c r="G911" s="39"/>
    </row>
    <row r="912" spans="6:7" ht="15.75" customHeight="1" x14ac:dyDescent="0.2">
      <c r="F912" s="78"/>
      <c r="G912" s="39"/>
    </row>
    <row r="913" spans="6:7" ht="15.75" customHeight="1" x14ac:dyDescent="0.2">
      <c r="F913" s="78"/>
      <c r="G913" s="39"/>
    </row>
    <row r="914" spans="6:7" ht="15.75" customHeight="1" x14ac:dyDescent="0.2">
      <c r="F914" s="78"/>
      <c r="G914" s="39"/>
    </row>
    <row r="915" spans="6:7" ht="15.75" customHeight="1" x14ac:dyDescent="0.2">
      <c r="F915" s="78"/>
      <c r="G915" s="39"/>
    </row>
    <row r="916" spans="6:7" ht="15.75" customHeight="1" x14ac:dyDescent="0.2">
      <c r="F916" s="78"/>
      <c r="G916" s="39"/>
    </row>
    <row r="917" spans="6:7" ht="15.75" customHeight="1" x14ac:dyDescent="0.2">
      <c r="F917" s="78"/>
      <c r="G917" s="39"/>
    </row>
    <row r="918" spans="6:7" ht="15.75" customHeight="1" x14ac:dyDescent="0.2">
      <c r="F918" s="78"/>
      <c r="G918" s="39"/>
    </row>
    <row r="919" spans="6:7" ht="15.75" customHeight="1" x14ac:dyDescent="0.2">
      <c r="F919" s="78"/>
      <c r="G919" s="39"/>
    </row>
    <row r="920" spans="6:7" ht="15.75" customHeight="1" x14ac:dyDescent="0.2">
      <c r="F920" s="78"/>
      <c r="G920" s="39"/>
    </row>
    <row r="921" spans="6:7" ht="15.75" customHeight="1" x14ac:dyDescent="0.2">
      <c r="F921" s="78"/>
      <c r="G921" s="39"/>
    </row>
    <row r="922" spans="6:7" ht="15.75" customHeight="1" x14ac:dyDescent="0.2">
      <c r="F922" s="78"/>
      <c r="G922" s="39"/>
    </row>
    <row r="923" spans="6:7" ht="15.75" customHeight="1" x14ac:dyDescent="0.2">
      <c r="F923" s="78"/>
      <c r="G923" s="39"/>
    </row>
    <row r="924" spans="6:7" ht="15.75" customHeight="1" x14ac:dyDescent="0.2">
      <c r="F924" s="78"/>
      <c r="G924" s="39"/>
    </row>
    <row r="925" spans="6:7" ht="15.75" customHeight="1" x14ac:dyDescent="0.2">
      <c r="F925" s="78"/>
      <c r="G925" s="39"/>
    </row>
    <row r="926" spans="6:7" ht="15.75" customHeight="1" x14ac:dyDescent="0.2">
      <c r="F926" s="78"/>
      <c r="G926" s="39"/>
    </row>
    <row r="927" spans="6:7" ht="15.75" customHeight="1" x14ac:dyDescent="0.2">
      <c r="F927" s="78"/>
      <c r="G927" s="39"/>
    </row>
    <row r="928" spans="6:7" ht="15.75" customHeight="1" x14ac:dyDescent="0.2">
      <c r="F928" s="78"/>
      <c r="G928" s="39"/>
    </row>
    <row r="929" spans="6:7" ht="15.75" customHeight="1" x14ac:dyDescent="0.2">
      <c r="F929" s="78"/>
      <c r="G929" s="39"/>
    </row>
    <row r="930" spans="6:7" ht="15.75" customHeight="1" x14ac:dyDescent="0.2">
      <c r="F930" s="78"/>
      <c r="G930" s="39"/>
    </row>
    <row r="931" spans="6:7" ht="15.75" customHeight="1" x14ac:dyDescent="0.2">
      <c r="F931" s="78"/>
      <c r="G931" s="39"/>
    </row>
    <row r="932" spans="6:7" ht="15.75" customHeight="1" x14ac:dyDescent="0.2">
      <c r="F932" s="78"/>
      <c r="G932" s="39"/>
    </row>
    <row r="933" spans="6:7" ht="15.75" customHeight="1" x14ac:dyDescent="0.2">
      <c r="F933" s="78"/>
      <c r="G933" s="39"/>
    </row>
    <row r="934" spans="6:7" ht="15.75" customHeight="1" x14ac:dyDescent="0.2">
      <c r="F934" s="78"/>
      <c r="G934" s="39"/>
    </row>
    <row r="935" spans="6:7" ht="15.75" customHeight="1" x14ac:dyDescent="0.2">
      <c r="F935" s="78"/>
      <c r="G935" s="39"/>
    </row>
    <row r="936" spans="6:7" ht="15.75" customHeight="1" x14ac:dyDescent="0.2">
      <c r="F936" s="78"/>
      <c r="G936" s="39"/>
    </row>
    <row r="937" spans="6:7" ht="15.75" customHeight="1" x14ac:dyDescent="0.2">
      <c r="F937" s="78"/>
      <c r="G937" s="39"/>
    </row>
    <row r="938" spans="6:7" ht="15.75" customHeight="1" x14ac:dyDescent="0.2">
      <c r="F938" s="78"/>
      <c r="G938" s="39"/>
    </row>
    <row r="939" spans="6:7" ht="15.75" customHeight="1" x14ac:dyDescent="0.2">
      <c r="F939" s="78"/>
      <c r="G939" s="39"/>
    </row>
    <row r="940" spans="6:7" ht="15.75" customHeight="1" x14ac:dyDescent="0.2">
      <c r="F940" s="78"/>
      <c r="G940" s="39"/>
    </row>
    <row r="941" spans="6:7" ht="15.75" customHeight="1" x14ac:dyDescent="0.2">
      <c r="F941" s="78"/>
      <c r="G941" s="39"/>
    </row>
    <row r="942" spans="6:7" ht="15.75" customHeight="1" x14ac:dyDescent="0.2">
      <c r="F942" s="78"/>
      <c r="G942" s="39"/>
    </row>
    <row r="943" spans="6:7" ht="15.75" customHeight="1" x14ac:dyDescent="0.2">
      <c r="F943" s="78"/>
      <c r="G943" s="39"/>
    </row>
    <row r="944" spans="6:7" ht="15.75" customHeight="1" x14ac:dyDescent="0.2">
      <c r="F944" s="78"/>
      <c r="G944" s="39"/>
    </row>
    <row r="945" spans="6:7" ht="15.75" customHeight="1" x14ac:dyDescent="0.2">
      <c r="F945" s="78"/>
      <c r="G945" s="39"/>
    </row>
    <row r="946" spans="6:7" ht="15.75" customHeight="1" x14ac:dyDescent="0.2">
      <c r="F946" s="78"/>
      <c r="G946" s="39"/>
    </row>
    <row r="947" spans="6:7" ht="15.75" customHeight="1" x14ac:dyDescent="0.2">
      <c r="F947" s="78"/>
      <c r="G947" s="39"/>
    </row>
    <row r="948" spans="6:7" ht="15.75" customHeight="1" x14ac:dyDescent="0.2">
      <c r="F948" s="78"/>
      <c r="G948" s="39"/>
    </row>
    <row r="949" spans="6:7" ht="15.75" customHeight="1" x14ac:dyDescent="0.2">
      <c r="F949" s="78"/>
      <c r="G949" s="39"/>
    </row>
    <row r="950" spans="6:7" ht="15.75" customHeight="1" x14ac:dyDescent="0.2">
      <c r="F950" s="78"/>
      <c r="G950" s="39"/>
    </row>
    <row r="951" spans="6:7" ht="15.75" customHeight="1" x14ac:dyDescent="0.2">
      <c r="F951" s="78"/>
      <c r="G951" s="39"/>
    </row>
    <row r="952" spans="6:7" ht="15.75" customHeight="1" x14ac:dyDescent="0.2">
      <c r="F952" s="78"/>
      <c r="G952" s="39"/>
    </row>
    <row r="953" spans="6:7" ht="15.75" customHeight="1" x14ac:dyDescent="0.2">
      <c r="F953" s="78"/>
      <c r="G953" s="39"/>
    </row>
    <row r="954" spans="6:7" ht="15.75" customHeight="1" x14ac:dyDescent="0.2">
      <c r="F954" s="78"/>
      <c r="G954" s="39"/>
    </row>
    <row r="955" spans="6:7" ht="15.75" customHeight="1" x14ac:dyDescent="0.2">
      <c r="F955" s="78"/>
      <c r="G955" s="39"/>
    </row>
    <row r="956" spans="6:7" ht="15.75" customHeight="1" x14ac:dyDescent="0.2">
      <c r="F956" s="78"/>
      <c r="G956" s="39"/>
    </row>
    <row r="957" spans="6:7" ht="15.75" customHeight="1" x14ac:dyDescent="0.2">
      <c r="F957" s="78"/>
      <c r="G957" s="39"/>
    </row>
    <row r="958" spans="6:7" ht="15.75" customHeight="1" x14ac:dyDescent="0.2">
      <c r="F958" s="78"/>
      <c r="G958" s="39"/>
    </row>
    <row r="959" spans="6:7" ht="15.75" customHeight="1" x14ac:dyDescent="0.2">
      <c r="F959" s="78"/>
      <c r="G959" s="39"/>
    </row>
    <row r="960" spans="6:7" ht="15.75" customHeight="1" x14ac:dyDescent="0.2">
      <c r="F960" s="78"/>
      <c r="G960" s="39"/>
    </row>
    <row r="961" spans="6:7" ht="15.75" customHeight="1" x14ac:dyDescent="0.2">
      <c r="F961" s="78"/>
      <c r="G961" s="39"/>
    </row>
    <row r="962" spans="6:7" ht="15.75" customHeight="1" x14ac:dyDescent="0.2">
      <c r="F962" s="78"/>
      <c r="G962" s="39"/>
    </row>
    <row r="963" spans="6:7" ht="15.75" customHeight="1" x14ac:dyDescent="0.2">
      <c r="F963" s="78"/>
      <c r="G963" s="39"/>
    </row>
    <row r="964" spans="6:7" ht="15.75" customHeight="1" x14ac:dyDescent="0.2">
      <c r="F964" s="78"/>
      <c r="G964" s="39"/>
    </row>
    <row r="965" spans="6:7" ht="15.75" customHeight="1" x14ac:dyDescent="0.2">
      <c r="F965" s="78"/>
      <c r="G965" s="39"/>
    </row>
    <row r="966" spans="6:7" ht="15.75" customHeight="1" x14ac:dyDescent="0.2">
      <c r="F966" s="78"/>
      <c r="G966" s="39"/>
    </row>
    <row r="967" spans="6:7" ht="15.75" customHeight="1" x14ac:dyDescent="0.2">
      <c r="F967" s="78"/>
      <c r="G967" s="39"/>
    </row>
    <row r="968" spans="6:7" ht="15.75" customHeight="1" x14ac:dyDescent="0.2">
      <c r="F968" s="78"/>
      <c r="G968" s="39"/>
    </row>
    <row r="969" spans="6:7" ht="15.75" customHeight="1" x14ac:dyDescent="0.2">
      <c r="F969" s="78"/>
      <c r="G969" s="39"/>
    </row>
    <row r="970" spans="6:7" ht="15.75" customHeight="1" x14ac:dyDescent="0.2">
      <c r="F970" s="78"/>
      <c r="G970" s="39"/>
    </row>
    <row r="971" spans="6:7" ht="15.75" customHeight="1" x14ac:dyDescent="0.2">
      <c r="F971" s="78"/>
      <c r="G971" s="39"/>
    </row>
    <row r="972" spans="6:7" ht="15.75" customHeight="1" x14ac:dyDescent="0.2">
      <c r="F972" s="78"/>
      <c r="G972" s="39"/>
    </row>
    <row r="973" spans="6:7" ht="15.75" customHeight="1" x14ac:dyDescent="0.2">
      <c r="F973" s="78"/>
      <c r="G973" s="39"/>
    </row>
    <row r="974" spans="6:7" ht="15.75" customHeight="1" x14ac:dyDescent="0.2">
      <c r="F974" s="78"/>
      <c r="G974" s="39"/>
    </row>
    <row r="975" spans="6:7" ht="15.75" customHeight="1" x14ac:dyDescent="0.2">
      <c r="F975" s="78"/>
      <c r="G975" s="39"/>
    </row>
    <row r="976" spans="6:7" ht="15.75" customHeight="1" x14ac:dyDescent="0.2">
      <c r="F976" s="78"/>
      <c r="G976" s="39"/>
    </row>
    <row r="977" spans="6:7" ht="15.75" customHeight="1" x14ac:dyDescent="0.2">
      <c r="F977" s="78"/>
      <c r="G977" s="39"/>
    </row>
    <row r="978" spans="6:7" ht="15.75" customHeight="1" x14ac:dyDescent="0.2">
      <c r="F978" s="78"/>
      <c r="G978" s="39"/>
    </row>
    <row r="979" spans="6:7" ht="15.75" customHeight="1" x14ac:dyDescent="0.2">
      <c r="F979" s="78"/>
      <c r="G979" s="39"/>
    </row>
    <row r="980" spans="6:7" ht="15.75" customHeight="1" x14ac:dyDescent="0.2">
      <c r="F980" s="78"/>
      <c r="G980" s="39"/>
    </row>
    <row r="981" spans="6:7" ht="15.75" customHeight="1" x14ac:dyDescent="0.2">
      <c r="F981" s="78"/>
      <c r="G981" s="39"/>
    </row>
    <row r="982" spans="6:7" ht="15.75" customHeight="1" x14ac:dyDescent="0.2">
      <c r="F982" s="78"/>
      <c r="G982" s="39"/>
    </row>
    <row r="983" spans="6:7" ht="15.75" customHeight="1" x14ac:dyDescent="0.2">
      <c r="F983" s="78"/>
      <c r="G983" s="39"/>
    </row>
    <row r="984" spans="6:7" ht="15.75" customHeight="1" x14ac:dyDescent="0.2">
      <c r="F984" s="78"/>
      <c r="G984" s="39"/>
    </row>
    <row r="985" spans="6:7" ht="15.75" customHeight="1" x14ac:dyDescent="0.2">
      <c r="F985" s="78"/>
      <c r="G985" s="39"/>
    </row>
    <row r="986" spans="6:7" ht="15.75" customHeight="1" x14ac:dyDescent="0.2">
      <c r="F986" s="78"/>
      <c r="G986" s="39"/>
    </row>
    <row r="987" spans="6:7" ht="15.75" customHeight="1" x14ac:dyDescent="0.2">
      <c r="F987" s="78"/>
      <c r="G987" s="39"/>
    </row>
    <row r="988" spans="6:7" ht="15.75" customHeight="1" x14ac:dyDescent="0.2">
      <c r="F988" s="78"/>
      <c r="G988" s="39"/>
    </row>
    <row r="989" spans="6:7" ht="15.75" customHeight="1" x14ac:dyDescent="0.2">
      <c r="F989" s="78"/>
      <c r="G989" s="39"/>
    </row>
    <row r="990" spans="6:7" ht="15.75" customHeight="1" x14ac:dyDescent="0.2">
      <c r="F990" s="78"/>
      <c r="G990" s="39"/>
    </row>
    <row r="991" spans="6:7" ht="15.75" customHeight="1" x14ac:dyDescent="0.2">
      <c r="F991" s="78"/>
      <c r="G991" s="39"/>
    </row>
    <row r="992" spans="6:7" ht="15.75" customHeight="1" x14ac:dyDescent="0.2">
      <c r="F992" s="78"/>
      <c r="G992" s="39"/>
    </row>
  </sheetData>
  <mergeCells count="41">
    <mergeCell ref="A2:E2"/>
    <mergeCell ref="B3:E3"/>
    <mergeCell ref="B4:E4"/>
    <mergeCell ref="B5:E5"/>
    <mergeCell ref="B6:E6"/>
    <mergeCell ref="B7:E7"/>
    <mergeCell ref="B8:E8"/>
    <mergeCell ref="B9:E9"/>
    <mergeCell ref="B10:E10"/>
    <mergeCell ref="B11:E11"/>
    <mergeCell ref="A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A37:E37"/>
    <mergeCell ref="A38:B38"/>
    <mergeCell ref="A39:B39"/>
    <mergeCell ref="A40:B40"/>
    <mergeCell ref="A41:B41"/>
    <mergeCell ref="B42:E42"/>
    <mergeCell ref="B30:E30"/>
    <mergeCell ref="B31:E31"/>
    <mergeCell ref="B32:E32"/>
    <mergeCell ref="B33:E33"/>
    <mergeCell ref="B34:E34"/>
    <mergeCell ref="B35:E35"/>
    <mergeCell ref="B36:E36"/>
  </mergeCells>
  <dataValidations count="5">
    <dataValidation type="list" allowBlank="1" showErrorMessage="1" sqref="B3" xr:uid="{00000000-0002-0000-0000-000000000000}">
      <formula1>"SI,NO"</formula1>
    </dataValidation>
    <dataValidation type="list" allowBlank="1" showErrorMessage="1" sqref="B4" xr:uid="{00000000-0002-0000-0000-000001000000}">
      <formula1>"NUEVO,ADICIONAL"</formula1>
    </dataValidation>
    <dataValidation type="list" allowBlank="1" showErrorMessage="1" sqref="B24 B30" xr:uid="{00000000-0002-0000-0000-000004000000}">
      <formula1>"CEDULA,RUC"</formula1>
    </dataValidation>
    <dataValidation type="list" allowBlank="1" showErrorMessage="1" sqref="B22" xr:uid="{42923A41-E75D-4EAE-97D7-BADB50A72C61}">
      <formula1>"AHORROS,CORRIENTE"</formula1>
    </dataValidation>
    <dataValidation type="list" allowBlank="1" showErrorMessage="1" sqref="B20" xr:uid="{00000000-0002-0000-0000-000006000000}">
      <formula1>"DEBITO,EFECTIVO"</formula1>
    </dataValidation>
  </dataValidations>
  <hyperlinks>
    <hyperlink ref="E39" r:id="rId1" xr:uid="{5F10418B-B67B-4DCF-9872-10B73EE42B57}"/>
    <hyperlink ref="B18" r:id="rId2" xr:uid="{8F50419B-1A8A-4482-A0C8-D7ED9DFA945D}"/>
  </hyperlinks>
  <printOptions horizontalCentered="1" gridLines="1"/>
  <pageMargins left="0.7" right="0.7" top="0.75" bottom="0.75" header="0" footer="0"/>
  <pageSetup paperSize="9" fitToHeight="0" pageOrder="overThenDown" orientation="landscape" cellComments="atEnd"/>
  <legacyDrawing r:id="rId3"/>
  <extLst>
    <ext xmlns:x14="http://schemas.microsoft.com/office/spreadsheetml/2009/9/main" uri="{CCE6A557-97BC-4b89-ADB6-D9C93CAAB3DF}">
      <x14:dataValidations xmlns:xm="http://schemas.microsoft.com/office/excel/2006/main" count="2">
        <x14:dataValidation type="list" allowBlank="1" xr:uid="{00000000-0002-0000-0000-000003000000}">
          <x14:formula1>
            <xm:f>Detalle!$A$20:$A$27</xm:f>
          </x14:formula1>
          <xm:sqref>F77:G992 G44:G76</xm:sqref>
        </x14:dataValidation>
        <x14:dataValidation type="list" allowBlank="1" showErrorMessage="1" xr:uid="{00000000-0002-0000-0000-000002000000}">
          <x14:formula1>
            <xm:f>Detalle!$A$2:$A$17</xm:f>
          </x14:formula1>
          <xm:sqref>C44:C76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A968"/>
  <sheetViews>
    <sheetView showGridLines="0" workbookViewId="0">
      <selection activeCell="AD15" sqref="AD15"/>
    </sheetView>
  </sheetViews>
  <sheetFormatPr baseColWidth="10" defaultColWidth="14.5" defaultRowHeight="15" customHeight="1" x14ac:dyDescent="0.2"/>
  <cols>
    <col min="1" max="1" width="2.33203125" customWidth="1"/>
    <col min="2" max="2" width="9.6640625" customWidth="1"/>
    <col min="3" max="3" width="2.83203125" customWidth="1"/>
    <col min="4" max="4" width="7.5" customWidth="1"/>
    <col min="5" max="5" width="9.5" customWidth="1"/>
    <col min="6" max="6" width="7.1640625" customWidth="1"/>
    <col min="7" max="7" width="1.5" customWidth="1"/>
    <col min="8" max="8" width="4.1640625" customWidth="1"/>
    <col min="9" max="9" width="4" customWidth="1"/>
    <col min="10" max="10" width="4.1640625" customWidth="1"/>
    <col min="11" max="12" width="3.6640625" customWidth="1"/>
    <col min="13" max="13" width="3.5" customWidth="1"/>
    <col min="14" max="14" width="3.1640625" customWidth="1"/>
    <col min="15" max="16" width="5.6640625" customWidth="1"/>
    <col min="17" max="17" width="5.5" customWidth="1"/>
    <col min="18" max="18" width="4.6640625" customWidth="1"/>
    <col min="19" max="19" width="5.33203125" customWidth="1"/>
    <col min="20" max="20" width="3.33203125" customWidth="1"/>
    <col min="21" max="21" width="2.83203125" customWidth="1"/>
    <col min="22" max="23" width="4" customWidth="1"/>
    <col min="24" max="24" width="4.1640625" customWidth="1"/>
    <col min="25" max="25" width="9.6640625" customWidth="1"/>
    <col min="26" max="26" width="10.5" customWidth="1"/>
    <col min="27" max="27" width="2.5" customWidth="1"/>
  </cols>
  <sheetData>
    <row r="1" spans="1:27" x14ac:dyDescent="0.2">
      <c r="A1" s="40"/>
      <c r="B1" s="173" t="s">
        <v>50</v>
      </c>
      <c r="C1" s="168"/>
      <c r="D1" s="168"/>
      <c r="E1" s="168"/>
      <c r="F1" s="168"/>
      <c r="G1" s="168"/>
      <c r="H1" s="168"/>
      <c r="I1" s="168"/>
      <c r="J1" s="168"/>
      <c r="K1" s="168"/>
      <c r="L1" s="168"/>
      <c r="M1" s="168"/>
      <c r="N1" s="168"/>
      <c r="O1" s="168"/>
      <c r="P1" s="168"/>
      <c r="Q1" s="168"/>
      <c r="R1" s="168"/>
      <c r="S1" s="168"/>
      <c r="T1" s="168"/>
      <c r="U1" s="168"/>
      <c r="V1" s="168"/>
      <c r="W1" s="168"/>
      <c r="X1" s="168"/>
      <c r="Y1" s="168"/>
      <c r="Z1" s="168"/>
      <c r="AA1" s="41"/>
    </row>
    <row r="2" spans="1:27" ht="20.25" customHeight="1" x14ac:dyDescent="0.2">
      <c r="A2" s="42"/>
      <c r="B2" s="43"/>
      <c r="C2" s="43"/>
      <c r="D2" s="43"/>
      <c r="E2" s="43"/>
      <c r="F2" s="43"/>
      <c r="G2" s="43"/>
      <c r="H2" s="43"/>
      <c r="I2" s="43"/>
      <c r="J2" s="43"/>
      <c r="K2" s="43"/>
      <c r="L2" s="43"/>
      <c r="M2" s="43"/>
      <c r="N2" s="43"/>
      <c r="O2" s="43"/>
      <c r="P2" s="43"/>
      <c r="Q2" s="43"/>
      <c r="R2" s="43"/>
      <c r="S2" s="43"/>
      <c r="T2" s="43"/>
      <c r="U2" s="43"/>
      <c r="V2" s="43"/>
      <c r="W2" s="43"/>
      <c r="X2" s="43"/>
      <c r="Y2" s="43"/>
      <c r="Z2" s="43"/>
      <c r="AA2" s="44"/>
    </row>
    <row r="3" spans="1:27" x14ac:dyDescent="0.2">
      <c r="A3" s="42"/>
      <c r="B3" s="183" t="s">
        <v>51</v>
      </c>
      <c r="C3" s="175"/>
      <c r="D3" s="186"/>
      <c r="E3" s="160"/>
      <c r="F3" s="160"/>
      <c r="G3" s="160"/>
      <c r="H3" s="43"/>
      <c r="I3" s="183" t="s">
        <v>52</v>
      </c>
      <c r="J3" s="175"/>
      <c r="K3" s="175"/>
      <c r="L3" s="186"/>
      <c r="M3" s="160"/>
      <c r="N3" s="160"/>
      <c r="O3" s="160"/>
      <c r="P3" s="160"/>
      <c r="Q3" s="160"/>
      <c r="R3" s="160"/>
      <c r="S3" s="43"/>
      <c r="T3" s="183" t="s">
        <v>53</v>
      </c>
      <c r="U3" s="175"/>
      <c r="V3" s="175"/>
      <c r="W3" s="186"/>
      <c r="X3" s="160"/>
      <c r="Y3" s="160"/>
      <c r="Z3" s="160"/>
      <c r="AA3" s="45"/>
    </row>
    <row r="4" spans="1:27" ht="6" customHeight="1" x14ac:dyDescent="0.2">
      <c r="A4" s="42"/>
      <c r="B4" s="43"/>
      <c r="C4" s="43"/>
      <c r="D4" s="43"/>
      <c r="E4" s="43"/>
      <c r="F4" s="43"/>
      <c r="G4" s="43"/>
      <c r="H4" s="43"/>
      <c r="I4" s="43"/>
      <c r="J4" s="43"/>
      <c r="K4" s="43"/>
      <c r="L4" s="43"/>
      <c r="M4" s="43"/>
      <c r="N4" s="43"/>
      <c r="O4" s="43"/>
      <c r="P4" s="43"/>
      <c r="Q4" s="43"/>
      <c r="R4" s="43"/>
      <c r="S4" s="43"/>
      <c r="T4" s="43"/>
      <c r="U4" s="43"/>
      <c r="V4" s="43"/>
      <c r="W4" s="43"/>
      <c r="X4" s="43"/>
      <c r="Y4" s="43"/>
      <c r="Z4" s="43"/>
      <c r="AA4" s="44"/>
    </row>
    <row r="5" spans="1:27" x14ac:dyDescent="0.2">
      <c r="A5" s="42"/>
      <c r="B5" s="190" t="s">
        <v>54</v>
      </c>
      <c r="C5" s="168"/>
      <c r="D5" s="168"/>
      <c r="E5" s="46"/>
      <c r="F5" s="46"/>
      <c r="G5" s="46"/>
      <c r="H5" s="46"/>
      <c r="I5" s="46"/>
      <c r="J5" s="46"/>
      <c r="K5" s="46"/>
      <c r="L5" s="46"/>
      <c r="M5" s="46"/>
      <c r="N5" s="46"/>
      <c r="O5" s="46"/>
      <c r="P5" s="46"/>
      <c r="Q5" s="46"/>
      <c r="R5" s="46"/>
      <c r="S5" s="46"/>
      <c r="T5" s="46"/>
      <c r="U5" s="46"/>
      <c r="V5" s="46"/>
      <c r="W5" s="46"/>
      <c r="X5" s="46"/>
      <c r="Y5" s="46"/>
      <c r="Z5" s="41"/>
      <c r="AA5" s="44"/>
    </row>
    <row r="6" spans="1:27" x14ac:dyDescent="0.2">
      <c r="A6" s="42"/>
      <c r="B6" s="191" t="s">
        <v>55</v>
      </c>
      <c r="C6" s="175"/>
      <c r="D6" s="175"/>
      <c r="E6" s="47"/>
      <c r="F6" s="43"/>
      <c r="G6" s="43"/>
      <c r="H6" s="43"/>
      <c r="I6" s="43"/>
      <c r="J6" s="43"/>
      <c r="K6" s="43"/>
      <c r="L6" s="43"/>
      <c r="M6" s="192" t="s">
        <v>56</v>
      </c>
      <c r="N6" s="175"/>
      <c r="O6" s="175"/>
      <c r="P6" s="175"/>
      <c r="Q6" s="175"/>
      <c r="R6" s="175"/>
      <c r="S6" s="175"/>
      <c r="T6" s="43"/>
      <c r="U6" s="43"/>
      <c r="V6" s="189" t="s">
        <v>57</v>
      </c>
      <c r="W6" s="140"/>
      <c r="X6" s="43"/>
      <c r="Y6" s="43"/>
      <c r="Z6" s="44"/>
      <c r="AA6" s="44"/>
    </row>
    <row r="7" spans="1:27" x14ac:dyDescent="0.2">
      <c r="A7" s="42"/>
      <c r="B7" s="187" t="s">
        <v>58</v>
      </c>
      <c r="C7" s="175"/>
      <c r="D7" s="175"/>
      <c r="E7" s="175"/>
      <c r="F7" s="175"/>
      <c r="G7" s="175"/>
      <c r="H7" s="186"/>
      <c r="I7" s="160"/>
      <c r="J7" s="160"/>
      <c r="K7" s="160"/>
      <c r="L7" s="160"/>
      <c r="M7" s="160"/>
      <c r="N7" s="160"/>
      <c r="O7" s="160"/>
      <c r="P7" s="160"/>
      <c r="Q7" s="160"/>
      <c r="R7" s="160"/>
      <c r="S7" s="160"/>
      <c r="T7" s="160"/>
      <c r="U7" s="160"/>
      <c r="V7" s="160"/>
      <c r="W7" s="160"/>
      <c r="X7" s="160"/>
      <c r="Y7" s="160"/>
      <c r="Z7" s="44"/>
      <c r="AA7" s="44"/>
    </row>
    <row r="8" spans="1:27" ht="18" customHeight="1" x14ac:dyDescent="0.2">
      <c r="A8" s="42"/>
      <c r="B8" s="187" t="s">
        <v>59</v>
      </c>
      <c r="C8" s="175"/>
      <c r="D8" s="175"/>
      <c r="E8" s="175"/>
      <c r="F8" s="175"/>
      <c r="G8" s="175"/>
      <c r="H8" s="175"/>
      <c r="I8" s="175"/>
      <c r="J8" s="175"/>
      <c r="K8" s="188">
        <f>INGRESO!B10</f>
        <v>0</v>
      </c>
      <c r="L8" s="160"/>
      <c r="M8" s="160"/>
      <c r="N8" s="160"/>
      <c r="O8" s="160"/>
      <c r="P8" s="160"/>
      <c r="Q8" s="160"/>
      <c r="R8" s="160"/>
      <c r="S8" s="160"/>
      <c r="T8" s="160"/>
      <c r="U8" s="160"/>
      <c r="V8" s="160"/>
      <c r="W8" s="160"/>
      <c r="X8" s="160"/>
      <c r="Y8" s="160"/>
      <c r="Z8" s="44"/>
      <c r="AA8" s="44"/>
    </row>
    <row r="9" spans="1:27" ht="18.75" customHeight="1" x14ac:dyDescent="0.2">
      <c r="A9" s="42"/>
      <c r="B9" s="187" t="s">
        <v>60</v>
      </c>
      <c r="C9" s="175"/>
      <c r="D9" s="175"/>
      <c r="E9" s="193" t="str">
        <f>INGRESO!B6</f>
        <v>Ismael Jahir Cruz Topanda</v>
      </c>
      <c r="F9" s="160"/>
      <c r="G9" s="160"/>
      <c r="H9" s="160"/>
      <c r="I9" s="160"/>
      <c r="J9" s="160"/>
      <c r="K9" s="160"/>
      <c r="L9" s="160"/>
      <c r="M9" s="160"/>
      <c r="N9" s="160"/>
      <c r="O9" s="160"/>
      <c r="P9" s="160"/>
      <c r="Q9" s="160"/>
      <c r="R9" s="160"/>
      <c r="S9" s="160"/>
      <c r="T9" s="160"/>
      <c r="U9" s="160"/>
      <c r="V9" s="160"/>
      <c r="W9" s="160"/>
      <c r="X9" s="160"/>
      <c r="Y9" s="160"/>
      <c r="Z9" s="44"/>
      <c r="AA9" s="44"/>
    </row>
    <row r="10" spans="1:27" x14ac:dyDescent="0.2">
      <c r="A10" s="42"/>
      <c r="B10" s="48"/>
      <c r="C10" s="49"/>
      <c r="D10" s="49"/>
      <c r="E10" s="49"/>
      <c r="F10" s="49"/>
      <c r="G10" s="49"/>
      <c r="H10" s="49"/>
      <c r="I10" s="49"/>
      <c r="J10" s="49"/>
      <c r="K10" s="49"/>
      <c r="L10" s="49"/>
      <c r="M10" s="49"/>
      <c r="N10" s="49"/>
      <c r="O10" s="49"/>
      <c r="P10" s="49"/>
      <c r="Q10" s="49"/>
      <c r="R10" s="49"/>
      <c r="S10" s="49"/>
      <c r="T10" s="49"/>
      <c r="U10" s="49"/>
      <c r="V10" s="49"/>
      <c r="W10" s="49"/>
      <c r="X10" s="49"/>
      <c r="Y10" s="49"/>
      <c r="Z10" s="50"/>
      <c r="AA10" s="44"/>
    </row>
    <row r="11" spans="1:27" ht="10.5" customHeight="1" x14ac:dyDescent="0.2">
      <c r="A11" s="42"/>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4"/>
    </row>
    <row r="12" spans="1:27" ht="3" customHeight="1" x14ac:dyDescent="0.2">
      <c r="A12" s="42"/>
      <c r="B12" s="48"/>
      <c r="C12" s="49"/>
      <c r="D12" s="49"/>
      <c r="E12" s="49"/>
      <c r="F12" s="49"/>
      <c r="G12" s="49"/>
      <c r="H12" s="49"/>
      <c r="I12" s="49"/>
      <c r="J12" s="49"/>
      <c r="K12" s="49"/>
      <c r="L12" s="49"/>
      <c r="M12" s="49"/>
      <c r="N12" s="49"/>
      <c r="O12" s="49"/>
      <c r="P12" s="49"/>
      <c r="Q12" s="49"/>
      <c r="R12" s="49"/>
      <c r="S12" s="49"/>
      <c r="T12" s="49"/>
      <c r="U12" s="49"/>
      <c r="V12" s="49"/>
      <c r="W12" s="49"/>
      <c r="X12" s="49"/>
      <c r="Y12" s="49"/>
      <c r="Z12" s="50"/>
      <c r="AA12" s="44"/>
    </row>
    <row r="13" spans="1:27" x14ac:dyDescent="0.2">
      <c r="A13" s="42"/>
      <c r="B13" s="190" t="s">
        <v>61</v>
      </c>
      <c r="C13" s="168"/>
      <c r="D13" s="168"/>
      <c r="E13" s="168"/>
      <c r="F13" s="168"/>
      <c r="G13" s="43"/>
      <c r="H13" s="43"/>
      <c r="I13" s="43"/>
      <c r="J13" s="43"/>
      <c r="K13" s="43"/>
      <c r="L13" s="43"/>
      <c r="M13" s="43"/>
      <c r="N13" s="43"/>
      <c r="O13" s="43"/>
      <c r="P13" s="43"/>
      <c r="Q13" s="43"/>
      <c r="R13" s="43"/>
      <c r="S13" s="43"/>
      <c r="T13" s="43"/>
      <c r="U13" s="43"/>
      <c r="V13" s="43"/>
      <c r="W13" s="43"/>
      <c r="X13" s="43"/>
      <c r="Y13" s="43"/>
      <c r="Z13" s="44"/>
      <c r="AA13" s="44"/>
    </row>
    <row r="14" spans="1:27" ht="2.25" customHeight="1" x14ac:dyDescent="0.2">
      <c r="A14" s="42"/>
      <c r="B14" s="42"/>
      <c r="C14" s="43"/>
      <c r="D14" s="43"/>
      <c r="E14" s="43"/>
      <c r="F14" s="43"/>
      <c r="G14" s="43"/>
      <c r="H14" s="43"/>
      <c r="I14" s="43"/>
      <c r="J14" s="43"/>
      <c r="K14" s="43"/>
      <c r="L14" s="43"/>
      <c r="M14" s="43"/>
      <c r="N14" s="43"/>
      <c r="O14" s="43"/>
      <c r="P14" s="43"/>
      <c r="Q14" s="43"/>
      <c r="R14" s="43"/>
      <c r="S14" s="43"/>
      <c r="T14" s="43"/>
      <c r="U14" s="43"/>
      <c r="V14" s="43"/>
      <c r="W14" s="43"/>
      <c r="X14" s="43"/>
      <c r="Y14" s="43"/>
      <c r="Z14" s="44"/>
      <c r="AA14" s="44"/>
    </row>
    <row r="15" spans="1:27" x14ac:dyDescent="0.2">
      <c r="A15" s="42"/>
      <c r="B15" s="191" t="s">
        <v>62</v>
      </c>
      <c r="C15" s="175"/>
      <c r="D15" s="47"/>
      <c r="E15" s="43"/>
      <c r="F15" s="43"/>
      <c r="G15" s="43"/>
      <c r="H15" s="192" t="s">
        <v>63</v>
      </c>
      <c r="I15" s="175"/>
      <c r="J15" s="175"/>
      <c r="K15" s="175"/>
      <c r="L15" s="43"/>
      <c r="M15" s="194" t="s">
        <v>57</v>
      </c>
      <c r="N15" s="140"/>
      <c r="O15" s="43"/>
      <c r="P15" s="43"/>
      <c r="Q15" s="43"/>
      <c r="R15" s="43"/>
      <c r="S15" s="43"/>
      <c r="T15" s="43"/>
      <c r="U15" s="43"/>
      <c r="V15" s="43"/>
      <c r="W15" s="43"/>
      <c r="X15" s="43"/>
      <c r="Y15" s="43"/>
      <c r="Z15" s="44"/>
      <c r="AA15" s="44"/>
    </row>
    <row r="16" spans="1:27" ht="8.25" customHeight="1" x14ac:dyDescent="0.2">
      <c r="A16" s="42"/>
      <c r="B16" s="48"/>
      <c r="C16" s="49"/>
      <c r="D16" s="49"/>
      <c r="E16" s="49"/>
      <c r="F16" s="49"/>
      <c r="G16" s="49"/>
      <c r="H16" s="49"/>
      <c r="I16" s="49"/>
      <c r="J16" s="49"/>
      <c r="K16" s="49"/>
      <c r="L16" s="49"/>
      <c r="M16" s="49"/>
      <c r="N16" s="49"/>
      <c r="O16" s="49"/>
      <c r="P16" s="49"/>
      <c r="Q16" s="49"/>
      <c r="R16" s="49"/>
      <c r="S16" s="49"/>
      <c r="T16" s="49"/>
      <c r="U16" s="49"/>
      <c r="V16" s="49"/>
      <c r="W16" s="49"/>
      <c r="X16" s="49"/>
      <c r="Y16" s="49"/>
      <c r="Z16" s="50"/>
      <c r="AA16" s="44"/>
    </row>
    <row r="17" spans="1:27" ht="11.25" customHeight="1" x14ac:dyDescent="0.2">
      <c r="A17" s="42"/>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4"/>
    </row>
    <row r="18" spans="1:27" ht="15.75" customHeight="1" x14ac:dyDescent="0.2">
      <c r="A18" s="42"/>
      <c r="B18" s="190" t="s">
        <v>64</v>
      </c>
      <c r="C18" s="168"/>
      <c r="D18" s="168"/>
      <c r="E18" s="168"/>
      <c r="F18" s="168"/>
      <c r="G18" s="168"/>
      <c r="H18" s="168"/>
      <c r="I18" s="168"/>
      <c r="J18" s="168"/>
      <c r="K18" s="46"/>
      <c r="L18" s="46"/>
      <c r="M18" s="46"/>
      <c r="N18" s="46"/>
      <c r="O18" s="46"/>
      <c r="P18" s="46"/>
      <c r="Q18" s="46"/>
      <c r="R18" s="46"/>
      <c r="S18" s="46"/>
      <c r="T18" s="46"/>
      <c r="U18" s="46"/>
      <c r="V18" s="46"/>
      <c r="W18" s="46"/>
      <c r="X18" s="46"/>
      <c r="Y18" s="46"/>
      <c r="Z18" s="41"/>
      <c r="AA18" s="44"/>
    </row>
    <row r="19" spans="1:27" ht="15.75" customHeight="1" x14ac:dyDescent="0.2">
      <c r="A19" s="42"/>
      <c r="B19" s="187" t="s">
        <v>65</v>
      </c>
      <c r="C19" s="175"/>
      <c r="D19" s="175"/>
      <c r="E19" s="188" t="s">
        <v>66</v>
      </c>
      <c r="F19" s="160"/>
      <c r="G19" s="160"/>
      <c r="H19" s="160"/>
      <c r="I19" s="160"/>
      <c r="J19" s="160"/>
      <c r="K19" s="160"/>
      <c r="L19" s="160"/>
      <c r="M19" s="160"/>
      <c r="N19" s="160"/>
      <c r="O19" s="160"/>
      <c r="P19" s="160"/>
      <c r="Q19" s="160"/>
      <c r="R19" s="160"/>
      <c r="S19" s="160"/>
      <c r="T19" s="160"/>
      <c r="U19" s="160"/>
      <c r="V19" s="160"/>
      <c r="W19" s="160"/>
      <c r="X19" s="160"/>
      <c r="Y19" s="160"/>
      <c r="Z19" s="44"/>
      <c r="AA19" s="44"/>
    </row>
    <row r="20" spans="1:27" ht="15.75" customHeight="1" x14ac:dyDescent="0.2">
      <c r="A20" s="42"/>
      <c r="B20" s="187" t="s">
        <v>67</v>
      </c>
      <c r="C20" s="175"/>
      <c r="D20" s="175"/>
      <c r="E20" s="188" t="s">
        <v>68</v>
      </c>
      <c r="F20" s="160"/>
      <c r="G20" s="160"/>
      <c r="H20" s="160"/>
      <c r="I20" s="160"/>
      <c r="J20" s="160"/>
      <c r="K20" s="160"/>
      <c r="L20" s="160"/>
      <c r="M20" s="160"/>
      <c r="N20" s="160"/>
      <c r="O20" s="160"/>
      <c r="P20" s="160"/>
      <c r="Q20" s="160"/>
      <c r="R20" s="160"/>
      <c r="S20" s="160"/>
      <c r="T20" s="160"/>
      <c r="U20" s="160"/>
      <c r="V20" s="160"/>
      <c r="W20" s="160"/>
      <c r="X20" s="160"/>
      <c r="Y20" s="160"/>
      <c r="Z20" s="44"/>
      <c r="AA20" s="44"/>
    </row>
    <row r="21" spans="1:27" ht="15.75" customHeight="1" x14ac:dyDescent="0.2">
      <c r="A21" s="42"/>
      <c r="B21" s="187" t="s">
        <v>69</v>
      </c>
      <c r="C21" s="175"/>
      <c r="D21" s="175"/>
      <c r="E21" s="175"/>
      <c r="F21" s="175"/>
      <c r="G21" s="175"/>
      <c r="H21" s="175"/>
      <c r="I21" s="175"/>
      <c r="J21" s="175"/>
      <c r="K21" s="188"/>
      <c r="L21" s="160"/>
      <c r="M21" s="160"/>
      <c r="N21" s="160"/>
      <c r="O21" s="160"/>
      <c r="P21" s="160"/>
      <c r="Q21" s="160"/>
      <c r="R21" s="160"/>
      <c r="S21" s="160"/>
      <c r="T21" s="160"/>
      <c r="U21" s="160"/>
      <c r="V21" s="160"/>
      <c r="W21" s="160"/>
      <c r="X21" s="160"/>
      <c r="Y21" s="160"/>
      <c r="Z21" s="44"/>
      <c r="AA21" s="44"/>
    </row>
    <row r="22" spans="1:27" ht="6.75" customHeight="1" x14ac:dyDescent="0.2">
      <c r="A22" s="42"/>
      <c r="B22" s="48"/>
      <c r="C22" s="49"/>
      <c r="D22" s="49"/>
      <c r="E22" s="49"/>
      <c r="F22" s="49"/>
      <c r="G22" s="49"/>
      <c r="H22" s="49"/>
      <c r="I22" s="49"/>
      <c r="J22" s="49"/>
      <c r="K22" s="49"/>
      <c r="L22" s="49"/>
      <c r="M22" s="49"/>
      <c r="N22" s="49"/>
      <c r="O22" s="49"/>
      <c r="P22" s="49"/>
      <c r="Q22" s="49"/>
      <c r="R22" s="49"/>
      <c r="S22" s="49"/>
      <c r="T22" s="49"/>
      <c r="U22" s="49"/>
      <c r="V22" s="49"/>
      <c r="W22" s="49"/>
      <c r="X22" s="49"/>
      <c r="Y22" s="49"/>
      <c r="Z22" s="50"/>
      <c r="AA22" s="44"/>
    </row>
    <row r="23" spans="1:27" ht="15.75" customHeight="1" x14ac:dyDescent="0.2">
      <c r="A23" s="42"/>
      <c r="B23" s="183" t="s">
        <v>70</v>
      </c>
      <c r="C23" s="175"/>
      <c r="D23" s="175"/>
      <c r="E23" s="175"/>
      <c r="F23" s="43"/>
      <c r="G23" s="43"/>
      <c r="H23" s="43"/>
      <c r="I23" s="43"/>
      <c r="J23" s="43"/>
      <c r="K23" s="43"/>
      <c r="L23" s="43"/>
      <c r="M23" s="43"/>
      <c r="N23" s="43"/>
      <c r="O23" s="43"/>
      <c r="P23" s="43"/>
      <c r="Q23" s="43"/>
      <c r="R23" s="43"/>
      <c r="S23" s="43"/>
      <c r="T23" s="43"/>
      <c r="U23" s="43"/>
      <c r="V23" s="43"/>
      <c r="W23" s="43"/>
      <c r="X23" s="43"/>
      <c r="Y23" s="43"/>
      <c r="Z23" s="43"/>
      <c r="AA23" s="44"/>
    </row>
    <row r="24" spans="1:27" ht="15.75" customHeight="1" x14ac:dyDescent="0.2">
      <c r="A24" s="42"/>
      <c r="B24" s="43"/>
      <c r="C24" s="43">
        <v>1</v>
      </c>
      <c r="D24" s="176" t="e">
        <f>INGRESO!#REF!</f>
        <v>#REF!</v>
      </c>
      <c r="E24" s="160"/>
      <c r="F24" s="160"/>
      <c r="G24" s="51"/>
      <c r="H24" s="52">
        <v>6</v>
      </c>
      <c r="I24" s="176"/>
      <c r="J24" s="160"/>
      <c r="K24" s="160"/>
      <c r="L24" s="160"/>
      <c r="M24" s="160"/>
      <c r="N24" s="160"/>
      <c r="O24" s="43">
        <v>11</v>
      </c>
      <c r="P24" s="176"/>
      <c r="Q24" s="160"/>
      <c r="R24" s="160"/>
      <c r="S24" s="160"/>
      <c r="T24" s="51"/>
      <c r="U24" s="43">
        <v>16</v>
      </c>
      <c r="V24" s="176"/>
      <c r="W24" s="160"/>
      <c r="X24" s="160"/>
      <c r="Y24" s="160"/>
      <c r="Z24" s="43"/>
      <c r="AA24" s="44"/>
    </row>
    <row r="25" spans="1:27" ht="15.75" customHeight="1" x14ac:dyDescent="0.2">
      <c r="A25" s="42"/>
      <c r="B25" s="43"/>
      <c r="C25" s="43">
        <v>2</v>
      </c>
      <c r="D25" s="176">
        <f>INGRESO!B44</f>
        <v>0</v>
      </c>
      <c r="E25" s="160"/>
      <c r="F25" s="160"/>
      <c r="G25" s="51"/>
      <c r="H25" s="52">
        <v>7</v>
      </c>
      <c r="I25" s="176"/>
      <c r="J25" s="160"/>
      <c r="K25" s="160"/>
      <c r="L25" s="160"/>
      <c r="M25" s="160"/>
      <c r="N25" s="160"/>
      <c r="O25" s="43">
        <v>12</v>
      </c>
      <c r="P25" s="176"/>
      <c r="Q25" s="160"/>
      <c r="R25" s="160"/>
      <c r="S25" s="160"/>
      <c r="T25" s="51"/>
      <c r="U25" s="43">
        <v>17</v>
      </c>
      <c r="V25" s="176"/>
      <c r="W25" s="160"/>
      <c r="X25" s="160"/>
      <c r="Y25" s="160"/>
      <c r="Z25" s="43"/>
      <c r="AA25" s="44"/>
    </row>
    <row r="26" spans="1:27" ht="15.75" customHeight="1" x14ac:dyDescent="0.2">
      <c r="A26" s="42"/>
      <c r="B26" s="43"/>
      <c r="C26" s="43">
        <v>3</v>
      </c>
      <c r="D26" s="176"/>
      <c r="E26" s="160"/>
      <c r="F26" s="160"/>
      <c r="G26" s="51"/>
      <c r="H26" s="52">
        <v>8</v>
      </c>
      <c r="I26" s="176"/>
      <c r="J26" s="160"/>
      <c r="K26" s="160"/>
      <c r="L26" s="160"/>
      <c r="M26" s="160"/>
      <c r="N26" s="160"/>
      <c r="O26" s="43">
        <v>13</v>
      </c>
      <c r="P26" s="176"/>
      <c r="Q26" s="160"/>
      <c r="R26" s="160"/>
      <c r="S26" s="160"/>
      <c r="T26" s="51"/>
      <c r="U26" s="43">
        <v>18</v>
      </c>
      <c r="V26" s="176"/>
      <c r="W26" s="160"/>
      <c r="X26" s="160"/>
      <c r="Y26" s="160"/>
      <c r="Z26" s="43"/>
      <c r="AA26" s="44"/>
    </row>
    <row r="27" spans="1:27" ht="15.75" customHeight="1" x14ac:dyDescent="0.2">
      <c r="A27" s="42"/>
      <c r="B27" s="43"/>
      <c r="C27" s="43">
        <v>4</v>
      </c>
      <c r="D27" s="176"/>
      <c r="E27" s="160"/>
      <c r="F27" s="160"/>
      <c r="G27" s="51"/>
      <c r="H27" s="52">
        <v>9</v>
      </c>
      <c r="I27" s="176"/>
      <c r="J27" s="160"/>
      <c r="K27" s="160"/>
      <c r="L27" s="160"/>
      <c r="M27" s="160"/>
      <c r="N27" s="160"/>
      <c r="O27" s="43">
        <v>14</v>
      </c>
      <c r="P27" s="176"/>
      <c r="Q27" s="160"/>
      <c r="R27" s="160"/>
      <c r="S27" s="160"/>
      <c r="T27" s="51"/>
      <c r="U27" s="43">
        <v>19</v>
      </c>
      <c r="V27" s="176"/>
      <c r="W27" s="160"/>
      <c r="X27" s="160"/>
      <c r="Y27" s="160"/>
      <c r="Z27" s="43"/>
      <c r="AA27" s="44"/>
    </row>
    <row r="28" spans="1:27" ht="15.75" customHeight="1" x14ac:dyDescent="0.2">
      <c r="A28" s="42"/>
      <c r="B28" s="43"/>
      <c r="C28" s="43">
        <v>5</v>
      </c>
      <c r="D28" s="176"/>
      <c r="E28" s="160"/>
      <c r="F28" s="160"/>
      <c r="G28" s="51"/>
      <c r="H28" s="52">
        <v>10</v>
      </c>
      <c r="I28" s="176"/>
      <c r="J28" s="160"/>
      <c r="K28" s="160"/>
      <c r="L28" s="160"/>
      <c r="M28" s="160"/>
      <c r="N28" s="160"/>
      <c r="O28" s="43">
        <v>15</v>
      </c>
      <c r="P28" s="176"/>
      <c r="Q28" s="160"/>
      <c r="R28" s="160"/>
      <c r="S28" s="160"/>
      <c r="T28" s="51"/>
      <c r="U28" s="43">
        <v>20</v>
      </c>
      <c r="V28" s="176"/>
      <c r="W28" s="160"/>
      <c r="X28" s="160"/>
      <c r="Y28" s="160"/>
      <c r="Z28" s="43"/>
      <c r="AA28" s="44"/>
    </row>
    <row r="29" spans="1:27" ht="2.25" customHeight="1" x14ac:dyDescent="0.2">
      <c r="A29" s="42"/>
      <c r="B29" s="43"/>
      <c r="C29" s="43"/>
      <c r="D29" s="53"/>
      <c r="E29" s="53"/>
      <c r="F29" s="53"/>
      <c r="G29" s="43"/>
      <c r="H29" s="43"/>
      <c r="I29" s="53"/>
      <c r="J29" s="53"/>
      <c r="K29" s="53"/>
      <c r="L29" s="53"/>
      <c r="M29" s="53"/>
      <c r="N29" s="53"/>
      <c r="O29" s="43"/>
      <c r="P29" s="53"/>
      <c r="Q29" s="53"/>
      <c r="R29" s="53"/>
      <c r="S29" s="53"/>
      <c r="T29" s="43"/>
      <c r="U29" s="43"/>
      <c r="V29" s="53"/>
      <c r="W29" s="53"/>
      <c r="X29" s="53"/>
      <c r="Y29" s="53"/>
      <c r="Z29" s="43"/>
      <c r="AA29" s="44"/>
    </row>
    <row r="30" spans="1:27" ht="15.75" customHeight="1" x14ac:dyDescent="0.2">
      <c r="A30" s="42"/>
      <c r="B30" s="183" t="s">
        <v>71</v>
      </c>
      <c r="C30" s="175"/>
      <c r="D30" s="175"/>
      <c r="E30" s="175"/>
      <c r="F30" s="175"/>
      <c r="G30" s="184">
        <f>(COUNT(D24:F28))+COUNT(I24:N28)+COUNT(P24:S28)+COUNT(V24:Y28)</f>
        <v>1</v>
      </c>
      <c r="H30" s="160"/>
      <c r="I30" s="160"/>
      <c r="J30" s="54"/>
      <c r="K30" s="54"/>
      <c r="L30" s="54"/>
      <c r="M30" s="54"/>
      <c r="N30" s="54"/>
      <c r="O30" s="54"/>
      <c r="P30" s="54"/>
      <c r="Q30" s="54"/>
      <c r="R30" s="54"/>
      <c r="S30" s="54"/>
      <c r="T30" s="54"/>
      <c r="U30" s="54"/>
      <c r="V30" s="54"/>
      <c r="W30" s="54"/>
      <c r="X30" s="54"/>
      <c r="Y30" s="54"/>
      <c r="Z30" s="43"/>
      <c r="AA30" s="44"/>
    </row>
    <row r="31" spans="1:27" ht="15.75" customHeight="1" x14ac:dyDescent="0.2">
      <c r="A31" s="42"/>
      <c r="B31" s="183" t="s">
        <v>72</v>
      </c>
      <c r="C31" s="175"/>
      <c r="D31" s="175"/>
      <c r="E31" s="175"/>
      <c r="F31" s="54"/>
      <c r="G31" s="184">
        <v>1</v>
      </c>
      <c r="H31" s="160"/>
      <c r="I31" s="160"/>
      <c r="J31" s="54"/>
      <c r="K31" s="54"/>
      <c r="L31" s="54"/>
      <c r="M31" s="54"/>
      <c r="N31" s="54"/>
      <c r="O31" s="54"/>
      <c r="P31" s="54"/>
      <c r="Q31" s="54"/>
      <c r="R31" s="54"/>
      <c r="S31" s="54"/>
      <c r="T31" s="54"/>
      <c r="U31" s="54"/>
      <c r="V31" s="54"/>
      <c r="W31" s="54"/>
      <c r="X31" s="54"/>
      <c r="Y31" s="54"/>
      <c r="Z31" s="43"/>
      <c r="AA31" s="44"/>
    </row>
    <row r="32" spans="1:27" ht="6.75" customHeight="1" x14ac:dyDescent="0.2">
      <c r="A32" s="42"/>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4"/>
    </row>
    <row r="33" spans="1:27" ht="15.75" customHeight="1" x14ac:dyDescent="0.2">
      <c r="A33" s="42"/>
      <c r="B33" s="43" t="s">
        <v>73</v>
      </c>
      <c r="C33" s="43"/>
      <c r="D33" s="43"/>
      <c r="E33" s="43"/>
      <c r="F33" s="43"/>
      <c r="G33" s="43"/>
      <c r="H33" s="43"/>
      <c r="I33" s="43"/>
      <c r="J33" s="43"/>
      <c r="K33" s="43"/>
      <c r="L33" s="43"/>
      <c r="M33" s="43"/>
      <c r="N33" s="43"/>
      <c r="O33" s="43"/>
      <c r="P33" s="43"/>
      <c r="Q33" s="43"/>
      <c r="R33" s="43"/>
      <c r="S33" s="43"/>
      <c r="T33" s="43"/>
      <c r="U33" s="43"/>
      <c r="V33" s="43"/>
      <c r="W33" s="43"/>
      <c r="X33" s="43"/>
      <c r="Y33" s="43"/>
      <c r="Z33" s="43"/>
      <c r="AA33" s="44"/>
    </row>
    <row r="34" spans="1:27" ht="15.75" customHeight="1" x14ac:dyDescent="0.2">
      <c r="A34" s="55"/>
      <c r="B34" s="177" t="s">
        <v>74</v>
      </c>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9"/>
    </row>
    <row r="35" spans="1:27" ht="15" customHeight="1" x14ac:dyDescent="0.2">
      <c r="A35" s="55"/>
      <c r="B35" s="180"/>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81"/>
    </row>
    <row r="36" spans="1:27" ht="15.75" customHeight="1" x14ac:dyDescent="0.2">
      <c r="A36" s="55"/>
      <c r="B36" s="180"/>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81"/>
    </row>
    <row r="37" spans="1:27" ht="15.75" customHeight="1" x14ac:dyDescent="0.2">
      <c r="A37" s="55"/>
      <c r="B37" s="180"/>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81"/>
    </row>
    <row r="38" spans="1:27" ht="15.75" customHeight="1" x14ac:dyDescent="0.2">
      <c r="A38" s="55"/>
      <c r="B38" s="180"/>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81"/>
    </row>
    <row r="39" spans="1:27" ht="15.75" customHeight="1" x14ac:dyDescent="0.2">
      <c r="A39" s="55"/>
      <c r="B39" s="180"/>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81"/>
    </row>
    <row r="40" spans="1:27" ht="15.75" customHeight="1" x14ac:dyDescent="0.2">
      <c r="A40" s="55"/>
      <c r="B40" s="180"/>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81"/>
    </row>
    <row r="41" spans="1:27" ht="8.25" customHeight="1" x14ac:dyDescent="0.2">
      <c r="A41" s="55"/>
      <c r="B41" s="180"/>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81"/>
    </row>
    <row r="42" spans="1:27" ht="15.75" customHeight="1" x14ac:dyDescent="0.2">
      <c r="A42" s="55"/>
      <c r="B42" s="177" t="s">
        <v>75</v>
      </c>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79"/>
    </row>
    <row r="43" spans="1:27" ht="15.75" customHeight="1" x14ac:dyDescent="0.2">
      <c r="A43" s="55"/>
      <c r="B43" s="180"/>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81"/>
    </row>
    <row r="44" spans="1:27" ht="15.75" customHeight="1" x14ac:dyDescent="0.2">
      <c r="A44" s="55"/>
      <c r="B44" s="180"/>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81"/>
    </row>
    <row r="45" spans="1:27" ht="15.75" customHeight="1" x14ac:dyDescent="0.2">
      <c r="A45" s="55"/>
      <c r="B45" s="180"/>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81"/>
    </row>
    <row r="46" spans="1:27" ht="15.75" customHeight="1" x14ac:dyDescent="0.2">
      <c r="A46" s="55"/>
      <c r="B46" s="180"/>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81"/>
    </row>
    <row r="47" spans="1:27" ht="15.75" customHeight="1" x14ac:dyDescent="0.2">
      <c r="A47" s="55"/>
      <c r="B47" s="180"/>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81"/>
    </row>
    <row r="48" spans="1:27" ht="15.75" customHeight="1" x14ac:dyDescent="0.2">
      <c r="A48" s="55"/>
      <c r="B48" s="180"/>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81"/>
    </row>
    <row r="49" spans="1:27" ht="15.75" customHeight="1" x14ac:dyDescent="0.2">
      <c r="A49" s="55"/>
      <c r="B49" s="180"/>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81"/>
    </row>
    <row r="50" spans="1:27" ht="15.75" customHeight="1" x14ac:dyDescent="0.2">
      <c r="A50" s="55"/>
      <c r="B50" s="180"/>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81"/>
    </row>
    <row r="51" spans="1:27" ht="15.75" customHeight="1" x14ac:dyDescent="0.2">
      <c r="A51" s="55"/>
      <c r="B51" s="180"/>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81"/>
    </row>
    <row r="52" spans="1:27" ht="15.75" customHeight="1" x14ac:dyDescent="0.2">
      <c r="A52" s="55"/>
      <c r="B52" s="180"/>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81"/>
    </row>
    <row r="53" spans="1:27" ht="15.75" customHeight="1" x14ac:dyDescent="0.2">
      <c r="A53" s="55"/>
      <c r="B53" s="180"/>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81"/>
    </row>
    <row r="54" spans="1:27" ht="15.75" customHeight="1" x14ac:dyDescent="0.2">
      <c r="A54" s="55"/>
      <c r="B54" s="180"/>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81"/>
    </row>
    <row r="55" spans="1:27" ht="15.75" customHeight="1" x14ac:dyDescent="0.2">
      <c r="A55" s="55"/>
      <c r="B55" s="180"/>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81"/>
    </row>
    <row r="56" spans="1:27" ht="15.75" customHeight="1" x14ac:dyDescent="0.2">
      <c r="A56" s="55"/>
      <c r="B56" s="180"/>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81"/>
    </row>
    <row r="57" spans="1:27" ht="15.75" customHeight="1" x14ac:dyDescent="0.2">
      <c r="A57" s="55"/>
      <c r="B57" s="180"/>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81"/>
    </row>
    <row r="58" spans="1:27" ht="1.5" customHeight="1" x14ac:dyDescent="0.2">
      <c r="A58" s="55"/>
      <c r="B58" s="180"/>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81"/>
    </row>
    <row r="59" spans="1:27" ht="1.5" customHeight="1" x14ac:dyDescent="0.2">
      <c r="A59" s="55"/>
      <c r="B59" s="180"/>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81"/>
    </row>
    <row r="60" spans="1:27" ht="3.75" customHeight="1" x14ac:dyDescent="0.2">
      <c r="A60" s="56"/>
      <c r="B60" s="152"/>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6"/>
    </row>
    <row r="61" spans="1:27" ht="5.25" customHeight="1" x14ac:dyDescent="0.2">
      <c r="A61" s="55"/>
      <c r="B61" s="182" t="s">
        <v>76</v>
      </c>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9"/>
    </row>
    <row r="62" spans="1:27" ht="15.75" customHeight="1" x14ac:dyDescent="0.2">
      <c r="A62" s="55"/>
      <c r="B62" s="180"/>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81"/>
    </row>
    <row r="63" spans="1:27" ht="15.75" customHeight="1" x14ac:dyDescent="0.2">
      <c r="A63" s="55"/>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8"/>
    </row>
    <row r="64" spans="1:27" ht="15.75" customHeight="1" x14ac:dyDescent="0.2">
      <c r="A64" s="55"/>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8"/>
    </row>
    <row r="65" spans="1:27" ht="46.5" customHeight="1" x14ac:dyDescent="0.2">
      <c r="A65" s="55"/>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8"/>
    </row>
    <row r="66" spans="1:27" ht="14.25" customHeight="1" x14ac:dyDescent="0.2">
      <c r="A66" s="55"/>
      <c r="B66" s="185">
        <f>K8</f>
        <v>0</v>
      </c>
      <c r="C66" s="160"/>
      <c r="D66" s="160"/>
      <c r="E66" s="160"/>
      <c r="F66" s="160"/>
      <c r="G66" s="160"/>
      <c r="H66" s="160"/>
      <c r="I66" s="160"/>
      <c r="J66" s="160"/>
      <c r="K66" s="57"/>
      <c r="L66" s="59"/>
      <c r="M66" s="59"/>
      <c r="N66" s="186"/>
      <c r="O66" s="160"/>
      <c r="P66" s="160"/>
      <c r="Q66" s="160"/>
      <c r="R66" s="160"/>
      <c r="S66" s="160"/>
      <c r="T66" s="160"/>
      <c r="U66" s="160"/>
      <c r="V66" s="160"/>
      <c r="W66" s="160"/>
      <c r="X66" s="160"/>
      <c r="Y66" s="160"/>
      <c r="Z66" s="57"/>
      <c r="AA66" s="58"/>
    </row>
    <row r="67" spans="1:27" ht="15.75" customHeight="1" x14ac:dyDescent="0.2">
      <c r="A67" s="55"/>
      <c r="B67" s="173" t="s">
        <v>77</v>
      </c>
      <c r="C67" s="168"/>
      <c r="D67" s="168"/>
      <c r="E67" s="168"/>
      <c r="F67" s="168"/>
      <c r="G67" s="168"/>
      <c r="H67" s="168"/>
      <c r="I67" s="168"/>
      <c r="J67" s="168"/>
      <c r="K67" s="57"/>
      <c r="L67" s="59"/>
      <c r="M67" s="60"/>
      <c r="N67" s="174" t="s">
        <v>78</v>
      </c>
      <c r="O67" s="175"/>
      <c r="P67" s="175"/>
      <c r="Q67" s="175"/>
      <c r="R67" s="175"/>
      <c r="S67" s="175"/>
      <c r="T67" s="175"/>
      <c r="U67" s="175"/>
      <c r="V67" s="175"/>
      <c r="W67" s="175"/>
      <c r="X67" s="175"/>
      <c r="Y67" s="175"/>
      <c r="Z67" s="57"/>
      <c r="AA67" s="58"/>
    </row>
    <row r="68" spans="1:27" ht="10.5" customHeight="1" x14ac:dyDescent="0.2">
      <c r="A68" s="61"/>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3"/>
    </row>
    <row r="69" spans="1:27" ht="15.75" customHeight="1" x14ac:dyDescent="0.2"/>
    <row r="70" spans="1:27" ht="15.75" customHeight="1" x14ac:dyDescent="0.2"/>
    <row r="71" spans="1:27" ht="15.75" customHeight="1" x14ac:dyDescent="0.2"/>
    <row r="72" spans="1:27" ht="15.75" customHeight="1" x14ac:dyDescent="0.2"/>
    <row r="73" spans="1:27" ht="15.75" customHeight="1" x14ac:dyDescent="0.2"/>
    <row r="74" spans="1:27" ht="15.75" customHeight="1" x14ac:dyDescent="0.2"/>
    <row r="75" spans="1:27" ht="15.75" customHeight="1" x14ac:dyDescent="0.2"/>
    <row r="76" spans="1:27" ht="15.75" customHeight="1" x14ac:dyDescent="0.2"/>
    <row r="77" spans="1:27" ht="15.75" customHeight="1" x14ac:dyDescent="0.2"/>
    <row r="78" spans="1:27" ht="15.75" customHeight="1" x14ac:dyDescent="0.2"/>
    <row r="79" spans="1:27" ht="15.75" customHeight="1" x14ac:dyDescent="0.2"/>
    <row r="80" spans="1:2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sheetData>
  <mergeCells count="60">
    <mergeCell ref="B15:C15"/>
    <mergeCell ref="H15:K15"/>
    <mergeCell ref="M15:N15"/>
    <mergeCell ref="B18:J18"/>
    <mergeCell ref="B19:D19"/>
    <mergeCell ref="E19:Y19"/>
    <mergeCell ref="K8:Y8"/>
    <mergeCell ref="E9:Y9"/>
    <mergeCell ref="B8:J8"/>
    <mergeCell ref="B9:D9"/>
    <mergeCell ref="B13:F13"/>
    <mergeCell ref="V6:W6"/>
    <mergeCell ref="B7:G7"/>
    <mergeCell ref="H7:Y7"/>
    <mergeCell ref="B1:Z1"/>
    <mergeCell ref="B3:C3"/>
    <mergeCell ref="D3:G3"/>
    <mergeCell ref="I3:K3"/>
    <mergeCell ref="L3:R3"/>
    <mergeCell ref="T3:V3"/>
    <mergeCell ref="W3:Z3"/>
    <mergeCell ref="B5:D5"/>
    <mergeCell ref="B6:D6"/>
    <mergeCell ref="M6:S6"/>
    <mergeCell ref="V24:Y24"/>
    <mergeCell ref="I25:N25"/>
    <mergeCell ref="P25:S25"/>
    <mergeCell ref="V25:Y25"/>
    <mergeCell ref="B20:D20"/>
    <mergeCell ref="E20:Y20"/>
    <mergeCell ref="B21:J21"/>
    <mergeCell ref="K21:Y21"/>
    <mergeCell ref="B23:E23"/>
    <mergeCell ref="B30:F30"/>
    <mergeCell ref="G30:I30"/>
    <mergeCell ref="D24:F24"/>
    <mergeCell ref="I24:N24"/>
    <mergeCell ref="P24:S24"/>
    <mergeCell ref="D25:F25"/>
    <mergeCell ref="D26:F26"/>
    <mergeCell ref="I26:N26"/>
    <mergeCell ref="P26:S26"/>
    <mergeCell ref="D27:F27"/>
    <mergeCell ref="P27:S27"/>
    <mergeCell ref="B67:J67"/>
    <mergeCell ref="N67:Y67"/>
    <mergeCell ref="V26:Y26"/>
    <mergeCell ref="V27:Y27"/>
    <mergeCell ref="V28:Y28"/>
    <mergeCell ref="B42:AA60"/>
    <mergeCell ref="B61:AA62"/>
    <mergeCell ref="B31:E31"/>
    <mergeCell ref="G31:I31"/>
    <mergeCell ref="B34:AA41"/>
    <mergeCell ref="D28:F28"/>
    <mergeCell ref="P28:S28"/>
    <mergeCell ref="I27:N27"/>
    <mergeCell ref="I28:N28"/>
    <mergeCell ref="B66:J66"/>
    <mergeCell ref="N66:Y66"/>
  </mergeCells>
  <printOptions horizontalCentered="1"/>
  <pageMargins left="0.25" right="0.25" top="0.75" bottom="0.75" header="0" footer="0"/>
  <pageSetup paperSize="9" scale="79" fitToWidth="0" pageOrder="overThenDown" orientation="portrait" cellComments="atEnd"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A968"/>
  <sheetViews>
    <sheetView showGridLines="0" workbookViewId="0"/>
  </sheetViews>
  <sheetFormatPr baseColWidth="10" defaultColWidth="14.5" defaultRowHeight="15" customHeight="1" x14ac:dyDescent="0.2"/>
  <cols>
    <col min="1" max="1" width="2.33203125" customWidth="1"/>
    <col min="2" max="2" width="9.6640625" customWidth="1"/>
    <col min="3" max="3" width="2.83203125" customWidth="1"/>
    <col min="4" max="4" width="7.5" customWidth="1"/>
    <col min="5" max="5" width="9.5" customWidth="1"/>
    <col min="6" max="6" width="7.1640625" customWidth="1"/>
    <col min="7" max="7" width="1.5" customWidth="1"/>
    <col min="8" max="8" width="4.1640625" customWidth="1"/>
    <col min="9" max="9" width="4" customWidth="1"/>
    <col min="10" max="10" width="4.1640625" customWidth="1"/>
    <col min="11" max="12" width="3.6640625" customWidth="1"/>
    <col min="13" max="13" width="3.5" customWidth="1"/>
    <col min="14" max="14" width="3.1640625" customWidth="1"/>
    <col min="15" max="16" width="5.6640625" customWidth="1"/>
    <col min="17" max="17" width="5.5" customWidth="1"/>
    <col min="18" max="18" width="4.6640625" customWidth="1"/>
    <col min="19" max="19" width="5.33203125" customWidth="1"/>
    <col min="20" max="20" width="3.33203125" customWidth="1"/>
    <col min="21" max="21" width="2.83203125" customWidth="1"/>
    <col min="22" max="23" width="4" customWidth="1"/>
    <col min="24" max="24" width="4.1640625" customWidth="1"/>
    <col min="25" max="25" width="9.6640625" customWidth="1"/>
    <col min="26" max="26" width="10.5" customWidth="1"/>
    <col min="27" max="27" width="2.5" customWidth="1"/>
  </cols>
  <sheetData>
    <row r="1" spans="1:27" x14ac:dyDescent="0.2">
      <c r="A1" s="40"/>
      <c r="B1" s="173" t="s">
        <v>50</v>
      </c>
      <c r="C1" s="168"/>
      <c r="D1" s="168"/>
      <c r="E1" s="168"/>
      <c r="F1" s="168"/>
      <c r="G1" s="168"/>
      <c r="H1" s="168"/>
      <c r="I1" s="168"/>
      <c r="J1" s="168"/>
      <c r="K1" s="168"/>
      <c r="L1" s="168"/>
      <c r="M1" s="168"/>
      <c r="N1" s="168"/>
      <c r="O1" s="168"/>
      <c r="P1" s="168"/>
      <c r="Q1" s="168"/>
      <c r="R1" s="168"/>
      <c r="S1" s="168"/>
      <c r="T1" s="168"/>
      <c r="U1" s="168"/>
      <c r="V1" s="168"/>
      <c r="W1" s="168"/>
      <c r="X1" s="168"/>
      <c r="Y1" s="168"/>
      <c r="Z1" s="168"/>
      <c r="AA1" s="41"/>
    </row>
    <row r="2" spans="1:27" ht="20.25" customHeight="1" x14ac:dyDescent="0.2">
      <c r="A2" s="42"/>
      <c r="B2" s="43"/>
      <c r="C2" s="43"/>
      <c r="D2" s="43"/>
      <c r="E2" s="43"/>
      <c r="F2" s="43"/>
      <c r="G2" s="43"/>
      <c r="H2" s="43"/>
      <c r="I2" s="43"/>
      <c r="J2" s="43"/>
      <c r="K2" s="43"/>
      <c r="L2" s="43"/>
      <c r="M2" s="43"/>
      <c r="N2" s="43"/>
      <c r="O2" s="43"/>
      <c r="P2" s="43"/>
      <c r="Q2" s="43"/>
      <c r="R2" s="43"/>
      <c r="S2" s="43"/>
      <c r="T2" s="43"/>
      <c r="U2" s="43"/>
      <c r="V2" s="43"/>
      <c r="W2" s="43"/>
      <c r="X2" s="43"/>
      <c r="Y2" s="43"/>
      <c r="Z2" s="43"/>
      <c r="AA2" s="44"/>
    </row>
    <row r="3" spans="1:27" x14ac:dyDescent="0.2">
      <c r="A3" s="42"/>
      <c r="B3" s="183" t="s">
        <v>51</v>
      </c>
      <c r="C3" s="175"/>
      <c r="D3" s="186"/>
      <c r="E3" s="160"/>
      <c r="F3" s="160"/>
      <c r="G3" s="160"/>
      <c r="H3" s="43"/>
      <c r="I3" s="183" t="s">
        <v>52</v>
      </c>
      <c r="J3" s="175"/>
      <c r="K3" s="175"/>
      <c r="L3" s="186"/>
      <c r="M3" s="160"/>
      <c r="N3" s="160"/>
      <c r="O3" s="160"/>
      <c r="P3" s="160"/>
      <c r="Q3" s="160"/>
      <c r="R3" s="160"/>
      <c r="S3" s="43"/>
      <c r="T3" s="183" t="s">
        <v>53</v>
      </c>
      <c r="U3" s="175"/>
      <c r="V3" s="175"/>
      <c r="W3" s="186"/>
      <c r="X3" s="160"/>
      <c r="Y3" s="160"/>
      <c r="Z3" s="160"/>
      <c r="AA3" s="45"/>
    </row>
    <row r="4" spans="1:27" ht="6" customHeight="1" x14ac:dyDescent="0.2">
      <c r="A4" s="42"/>
      <c r="B4" s="43"/>
      <c r="C4" s="43"/>
      <c r="D4" s="43"/>
      <c r="E4" s="43"/>
      <c r="F4" s="43"/>
      <c r="G4" s="43"/>
      <c r="H4" s="43"/>
      <c r="I4" s="43"/>
      <c r="J4" s="43"/>
      <c r="K4" s="43"/>
      <c r="L4" s="43"/>
      <c r="M4" s="43"/>
      <c r="N4" s="43"/>
      <c r="O4" s="43"/>
      <c r="P4" s="43"/>
      <c r="Q4" s="43"/>
      <c r="R4" s="43"/>
      <c r="S4" s="43"/>
      <c r="T4" s="43"/>
      <c r="U4" s="43"/>
      <c r="V4" s="43"/>
      <c r="W4" s="43"/>
      <c r="X4" s="43"/>
      <c r="Y4" s="43"/>
      <c r="Z4" s="43"/>
      <c r="AA4" s="44"/>
    </row>
    <row r="5" spans="1:27" x14ac:dyDescent="0.2">
      <c r="A5" s="42"/>
      <c r="B5" s="190" t="s">
        <v>54</v>
      </c>
      <c r="C5" s="168"/>
      <c r="D5" s="168"/>
      <c r="E5" s="46"/>
      <c r="F5" s="46"/>
      <c r="G5" s="46"/>
      <c r="H5" s="46"/>
      <c r="I5" s="46"/>
      <c r="J5" s="46"/>
      <c r="K5" s="46"/>
      <c r="L5" s="46"/>
      <c r="M5" s="46"/>
      <c r="N5" s="46"/>
      <c r="O5" s="46"/>
      <c r="P5" s="46"/>
      <c r="Q5" s="46"/>
      <c r="R5" s="46"/>
      <c r="S5" s="46"/>
      <c r="T5" s="46"/>
      <c r="U5" s="46"/>
      <c r="V5" s="46"/>
      <c r="W5" s="46"/>
      <c r="X5" s="46"/>
      <c r="Y5" s="46"/>
      <c r="Z5" s="41"/>
      <c r="AA5" s="44"/>
    </row>
    <row r="6" spans="1:27" x14ac:dyDescent="0.2">
      <c r="A6" s="42"/>
      <c r="B6" s="191" t="s">
        <v>55</v>
      </c>
      <c r="C6" s="175"/>
      <c r="D6" s="175"/>
      <c r="E6" s="47"/>
      <c r="F6" s="43"/>
      <c r="G6" s="43"/>
      <c r="H6" s="43"/>
      <c r="I6" s="43"/>
      <c r="J6" s="43"/>
      <c r="K6" s="43"/>
      <c r="L6" s="43"/>
      <c r="M6" s="192" t="s">
        <v>56</v>
      </c>
      <c r="N6" s="175"/>
      <c r="O6" s="175"/>
      <c r="P6" s="175"/>
      <c r="Q6" s="175"/>
      <c r="R6" s="175"/>
      <c r="S6" s="175"/>
      <c r="T6" s="43"/>
      <c r="U6" s="43"/>
      <c r="V6" s="189" t="s">
        <v>57</v>
      </c>
      <c r="W6" s="140"/>
      <c r="X6" s="43"/>
      <c r="Y6" s="43"/>
      <c r="Z6" s="44"/>
      <c r="AA6" s="44"/>
    </row>
    <row r="7" spans="1:27" x14ac:dyDescent="0.2">
      <c r="A7" s="42"/>
      <c r="B7" s="187" t="s">
        <v>58</v>
      </c>
      <c r="C7" s="175"/>
      <c r="D7" s="175"/>
      <c r="E7" s="175"/>
      <c r="F7" s="175"/>
      <c r="G7" s="175"/>
      <c r="H7" s="186"/>
      <c r="I7" s="160"/>
      <c r="J7" s="160"/>
      <c r="K7" s="160"/>
      <c r="L7" s="160"/>
      <c r="M7" s="160"/>
      <c r="N7" s="160"/>
      <c r="O7" s="160"/>
      <c r="P7" s="160"/>
      <c r="Q7" s="160"/>
      <c r="R7" s="160"/>
      <c r="S7" s="160"/>
      <c r="T7" s="160"/>
      <c r="U7" s="160"/>
      <c r="V7" s="160"/>
      <c r="W7" s="160"/>
      <c r="X7" s="160"/>
      <c r="Y7" s="160"/>
      <c r="Z7" s="44"/>
      <c r="AA7" s="44"/>
    </row>
    <row r="8" spans="1:27" ht="18" customHeight="1" x14ac:dyDescent="0.2">
      <c r="A8" s="42"/>
      <c r="B8" s="187" t="s">
        <v>59</v>
      </c>
      <c r="C8" s="175"/>
      <c r="D8" s="175"/>
      <c r="E8" s="175"/>
      <c r="F8" s="175"/>
      <c r="G8" s="175"/>
      <c r="H8" s="175"/>
      <c r="I8" s="175"/>
      <c r="J8" s="175"/>
      <c r="K8" s="193" t="str">
        <f>INGRESO!B6</f>
        <v>Ismael Jahir Cruz Topanda</v>
      </c>
      <c r="L8" s="160"/>
      <c r="M8" s="160"/>
      <c r="N8" s="160"/>
      <c r="O8" s="160"/>
      <c r="P8" s="160"/>
      <c r="Q8" s="160"/>
      <c r="R8" s="160"/>
      <c r="S8" s="160"/>
      <c r="T8" s="160"/>
      <c r="U8" s="160"/>
      <c r="V8" s="160"/>
      <c r="W8" s="160"/>
      <c r="X8" s="160"/>
      <c r="Y8" s="160"/>
      <c r="Z8" s="44"/>
      <c r="AA8" s="44"/>
    </row>
    <row r="9" spans="1:27" ht="18.75" customHeight="1" x14ac:dyDescent="0.2">
      <c r="A9" s="42"/>
      <c r="B9" s="187" t="s">
        <v>60</v>
      </c>
      <c r="C9" s="175"/>
      <c r="D9" s="175"/>
      <c r="E9" s="193"/>
      <c r="F9" s="160"/>
      <c r="G9" s="160"/>
      <c r="H9" s="160"/>
      <c r="I9" s="160"/>
      <c r="J9" s="160"/>
      <c r="K9" s="160"/>
      <c r="L9" s="160"/>
      <c r="M9" s="160"/>
      <c r="N9" s="160"/>
      <c r="O9" s="160"/>
      <c r="P9" s="160"/>
      <c r="Q9" s="160"/>
      <c r="R9" s="160"/>
      <c r="S9" s="160"/>
      <c r="T9" s="160"/>
      <c r="U9" s="160"/>
      <c r="V9" s="160"/>
      <c r="W9" s="160"/>
      <c r="X9" s="160"/>
      <c r="Y9" s="160"/>
      <c r="Z9" s="44"/>
      <c r="AA9" s="44"/>
    </row>
    <row r="10" spans="1:27" x14ac:dyDescent="0.2">
      <c r="A10" s="42"/>
      <c r="B10" s="48"/>
      <c r="C10" s="49"/>
      <c r="D10" s="49"/>
      <c r="E10" s="49"/>
      <c r="F10" s="49"/>
      <c r="G10" s="49"/>
      <c r="H10" s="49"/>
      <c r="I10" s="49"/>
      <c r="J10" s="49"/>
      <c r="K10" s="49"/>
      <c r="L10" s="49"/>
      <c r="M10" s="49"/>
      <c r="N10" s="49"/>
      <c r="O10" s="49"/>
      <c r="P10" s="49"/>
      <c r="Q10" s="49"/>
      <c r="R10" s="49"/>
      <c r="S10" s="49"/>
      <c r="T10" s="49"/>
      <c r="U10" s="49"/>
      <c r="V10" s="49"/>
      <c r="W10" s="49"/>
      <c r="X10" s="49"/>
      <c r="Y10" s="49"/>
      <c r="Z10" s="50"/>
      <c r="AA10" s="44"/>
    </row>
    <row r="11" spans="1:27" ht="10.5" customHeight="1" x14ac:dyDescent="0.2">
      <c r="A11" s="42"/>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4"/>
    </row>
    <row r="12" spans="1:27" ht="3" customHeight="1" x14ac:dyDescent="0.2">
      <c r="A12" s="42"/>
      <c r="B12" s="48"/>
      <c r="C12" s="49"/>
      <c r="D12" s="49"/>
      <c r="E12" s="49"/>
      <c r="F12" s="49"/>
      <c r="G12" s="49"/>
      <c r="H12" s="49"/>
      <c r="I12" s="49"/>
      <c r="J12" s="49"/>
      <c r="K12" s="49"/>
      <c r="L12" s="49"/>
      <c r="M12" s="49"/>
      <c r="N12" s="49"/>
      <c r="O12" s="49"/>
      <c r="P12" s="49"/>
      <c r="Q12" s="49"/>
      <c r="R12" s="49"/>
      <c r="S12" s="49"/>
      <c r="T12" s="49"/>
      <c r="U12" s="49"/>
      <c r="V12" s="49"/>
      <c r="W12" s="49"/>
      <c r="X12" s="49"/>
      <c r="Y12" s="49"/>
      <c r="Z12" s="50"/>
      <c r="AA12" s="44"/>
    </row>
    <row r="13" spans="1:27" x14ac:dyDescent="0.2">
      <c r="A13" s="42"/>
      <c r="B13" s="190" t="s">
        <v>61</v>
      </c>
      <c r="C13" s="168"/>
      <c r="D13" s="168"/>
      <c r="E13" s="168"/>
      <c r="F13" s="168"/>
      <c r="G13" s="43"/>
      <c r="H13" s="43"/>
      <c r="I13" s="43"/>
      <c r="J13" s="43"/>
      <c r="K13" s="43"/>
      <c r="L13" s="43"/>
      <c r="M13" s="43"/>
      <c r="N13" s="43"/>
      <c r="O13" s="43"/>
      <c r="P13" s="43"/>
      <c r="Q13" s="43"/>
      <c r="R13" s="43"/>
      <c r="S13" s="43"/>
      <c r="T13" s="43"/>
      <c r="U13" s="43"/>
      <c r="V13" s="43"/>
      <c r="W13" s="43"/>
      <c r="X13" s="43"/>
      <c r="Y13" s="43"/>
      <c r="Z13" s="44"/>
      <c r="AA13" s="44"/>
    </row>
    <row r="14" spans="1:27" ht="2.25" customHeight="1" x14ac:dyDescent="0.2">
      <c r="A14" s="42"/>
      <c r="B14" s="42"/>
      <c r="C14" s="43"/>
      <c r="D14" s="43"/>
      <c r="E14" s="43"/>
      <c r="F14" s="43"/>
      <c r="G14" s="43"/>
      <c r="H14" s="43"/>
      <c r="I14" s="43"/>
      <c r="J14" s="43"/>
      <c r="K14" s="43"/>
      <c r="L14" s="43"/>
      <c r="M14" s="43"/>
      <c r="N14" s="43"/>
      <c r="O14" s="43"/>
      <c r="P14" s="43"/>
      <c r="Q14" s="43"/>
      <c r="R14" s="43"/>
      <c r="S14" s="43"/>
      <c r="T14" s="43"/>
      <c r="U14" s="43"/>
      <c r="V14" s="43"/>
      <c r="W14" s="43"/>
      <c r="X14" s="43"/>
      <c r="Y14" s="43"/>
      <c r="Z14" s="44"/>
      <c r="AA14" s="44"/>
    </row>
    <row r="15" spans="1:27" x14ac:dyDescent="0.2">
      <c r="A15" s="42"/>
      <c r="B15" s="191" t="s">
        <v>62</v>
      </c>
      <c r="C15" s="175"/>
      <c r="D15" s="64"/>
      <c r="E15" s="43"/>
      <c r="F15" s="43"/>
      <c r="G15" s="43"/>
      <c r="H15" s="192" t="s">
        <v>63</v>
      </c>
      <c r="I15" s="175"/>
      <c r="J15" s="175"/>
      <c r="K15" s="175"/>
      <c r="L15" s="43"/>
      <c r="M15" s="194" t="s">
        <v>57</v>
      </c>
      <c r="N15" s="140"/>
      <c r="O15" s="43"/>
      <c r="P15" s="43"/>
      <c r="Q15" s="43"/>
      <c r="R15" s="43"/>
      <c r="S15" s="43"/>
      <c r="T15" s="43"/>
      <c r="U15" s="43"/>
      <c r="V15" s="43"/>
      <c r="W15" s="43"/>
      <c r="X15" s="43"/>
      <c r="Y15" s="43"/>
      <c r="Z15" s="44"/>
      <c r="AA15" s="44"/>
    </row>
    <row r="16" spans="1:27" ht="8.25" customHeight="1" x14ac:dyDescent="0.2">
      <c r="A16" s="42"/>
      <c r="B16" s="48"/>
      <c r="C16" s="49"/>
      <c r="D16" s="49"/>
      <c r="E16" s="49"/>
      <c r="F16" s="49"/>
      <c r="G16" s="49"/>
      <c r="H16" s="49"/>
      <c r="I16" s="49"/>
      <c r="J16" s="49"/>
      <c r="K16" s="49"/>
      <c r="L16" s="49"/>
      <c r="M16" s="49"/>
      <c r="N16" s="49"/>
      <c r="O16" s="49"/>
      <c r="P16" s="49"/>
      <c r="Q16" s="49"/>
      <c r="R16" s="49"/>
      <c r="S16" s="49"/>
      <c r="T16" s="49"/>
      <c r="U16" s="49"/>
      <c r="V16" s="49"/>
      <c r="W16" s="49"/>
      <c r="X16" s="49"/>
      <c r="Y16" s="49"/>
      <c r="Z16" s="50"/>
      <c r="AA16" s="44"/>
    </row>
    <row r="17" spans="1:27" ht="11.25" customHeight="1" x14ac:dyDescent="0.2">
      <c r="A17" s="42"/>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4"/>
    </row>
    <row r="18" spans="1:27" ht="15.75" customHeight="1" x14ac:dyDescent="0.2">
      <c r="A18" s="42"/>
      <c r="B18" s="190" t="s">
        <v>64</v>
      </c>
      <c r="C18" s="168"/>
      <c r="D18" s="168"/>
      <c r="E18" s="168"/>
      <c r="F18" s="168"/>
      <c r="G18" s="168"/>
      <c r="H18" s="168"/>
      <c r="I18" s="168"/>
      <c r="J18" s="168"/>
      <c r="K18" s="46"/>
      <c r="L18" s="46"/>
      <c r="M18" s="46"/>
      <c r="N18" s="46"/>
      <c r="O18" s="46"/>
      <c r="P18" s="46"/>
      <c r="Q18" s="46"/>
      <c r="R18" s="46"/>
      <c r="S18" s="46"/>
      <c r="T18" s="46"/>
      <c r="U18" s="46"/>
      <c r="V18" s="46"/>
      <c r="W18" s="46"/>
      <c r="X18" s="46"/>
      <c r="Y18" s="46"/>
      <c r="Z18" s="41"/>
      <c r="AA18" s="44"/>
    </row>
    <row r="19" spans="1:27" ht="15.75" customHeight="1" x14ac:dyDescent="0.2">
      <c r="A19" s="42"/>
      <c r="B19" s="187" t="s">
        <v>65</v>
      </c>
      <c r="C19" s="175"/>
      <c r="D19" s="175"/>
      <c r="E19" s="188" t="s">
        <v>66</v>
      </c>
      <c r="F19" s="160"/>
      <c r="G19" s="160"/>
      <c r="H19" s="160"/>
      <c r="I19" s="160"/>
      <c r="J19" s="160"/>
      <c r="K19" s="160"/>
      <c r="L19" s="160"/>
      <c r="M19" s="160"/>
      <c r="N19" s="160"/>
      <c r="O19" s="160"/>
      <c r="P19" s="160"/>
      <c r="Q19" s="160"/>
      <c r="R19" s="160"/>
      <c r="S19" s="160"/>
      <c r="T19" s="160"/>
      <c r="U19" s="160"/>
      <c r="V19" s="160"/>
      <c r="W19" s="160"/>
      <c r="X19" s="160"/>
      <c r="Y19" s="160"/>
      <c r="Z19" s="44"/>
      <c r="AA19" s="44"/>
    </row>
    <row r="20" spans="1:27" ht="15.75" customHeight="1" x14ac:dyDescent="0.2">
      <c r="A20" s="42"/>
      <c r="B20" s="187" t="s">
        <v>67</v>
      </c>
      <c r="C20" s="175"/>
      <c r="D20" s="175"/>
      <c r="E20" s="188" t="s">
        <v>68</v>
      </c>
      <c r="F20" s="160"/>
      <c r="G20" s="160"/>
      <c r="H20" s="160"/>
      <c r="I20" s="160"/>
      <c r="J20" s="160"/>
      <c r="K20" s="160"/>
      <c r="L20" s="160"/>
      <c r="M20" s="160"/>
      <c r="N20" s="160"/>
      <c r="O20" s="160"/>
      <c r="P20" s="160"/>
      <c r="Q20" s="160"/>
      <c r="R20" s="160"/>
      <c r="S20" s="160"/>
      <c r="T20" s="160"/>
      <c r="U20" s="160"/>
      <c r="V20" s="160"/>
      <c r="W20" s="160"/>
      <c r="X20" s="160"/>
      <c r="Y20" s="160"/>
      <c r="Z20" s="44"/>
      <c r="AA20" s="44"/>
    </row>
    <row r="21" spans="1:27" ht="15.75" customHeight="1" x14ac:dyDescent="0.2">
      <c r="A21" s="42"/>
      <c r="B21" s="187" t="s">
        <v>69</v>
      </c>
      <c r="C21" s="175"/>
      <c r="D21" s="175"/>
      <c r="E21" s="175"/>
      <c r="F21" s="175"/>
      <c r="G21" s="175"/>
      <c r="H21" s="175"/>
      <c r="I21" s="175"/>
      <c r="J21" s="175"/>
      <c r="K21" s="188"/>
      <c r="L21" s="160"/>
      <c r="M21" s="160"/>
      <c r="N21" s="160"/>
      <c r="O21" s="160"/>
      <c r="P21" s="160"/>
      <c r="Q21" s="160"/>
      <c r="R21" s="160"/>
      <c r="S21" s="160"/>
      <c r="T21" s="160"/>
      <c r="U21" s="160"/>
      <c r="V21" s="160"/>
      <c r="W21" s="160"/>
      <c r="X21" s="160"/>
      <c r="Y21" s="160"/>
      <c r="Z21" s="44"/>
      <c r="AA21" s="44"/>
    </row>
    <row r="22" spans="1:27" ht="6.75" customHeight="1" x14ac:dyDescent="0.2">
      <c r="A22" s="42"/>
      <c r="B22" s="48"/>
      <c r="C22" s="49"/>
      <c r="D22" s="49"/>
      <c r="E22" s="49"/>
      <c r="F22" s="49"/>
      <c r="G22" s="49"/>
      <c r="H22" s="49"/>
      <c r="I22" s="49"/>
      <c r="J22" s="49"/>
      <c r="K22" s="49"/>
      <c r="L22" s="49"/>
      <c r="M22" s="49"/>
      <c r="N22" s="49"/>
      <c r="O22" s="49"/>
      <c r="P22" s="49"/>
      <c r="Q22" s="49"/>
      <c r="R22" s="49"/>
      <c r="S22" s="49"/>
      <c r="T22" s="49"/>
      <c r="U22" s="49"/>
      <c r="V22" s="49"/>
      <c r="W22" s="49"/>
      <c r="X22" s="49"/>
      <c r="Y22" s="49"/>
      <c r="Z22" s="50"/>
      <c r="AA22" s="44"/>
    </row>
    <row r="23" spans="1:27" ht="15.75" customHeight="1" x14ac:dyDescent="0.2">
      <c r="A23" s="42"/>
      <c r="B23" s="183" t="s">
        <v>70</v>
      </c>
      <c r="C23" s="175"/>
      <c r="D23" s="175"/>
      <c r="E23" s="175"/>
      <c r="F23" s="43"/>
      <c r="G23" s="43"/>
      <c r="H23" s="43"/>
      <c r="I23" s="43"/>
      <c r="J23" s="43"/>
      <c r="K23" s="43"/>
      <c r="L23" s="43"/>
      <c r="M23" s="43"/>
      <c r="N23" s="43"/>
      <c r="O23" s="43"/>
      <c r="P23" s="43"/>
      <c r="Q23" s="43"/>
      <c r="R23" s="43"/>
      <c r="S23" s="43"/>
      <c r="T23" s="43"/>
      <c r="U23" s="43"/>
      <c r="V23" s="43"/>
      <c r="W23" s="43"/>
      <c r="X23" s="43"/>
      <c r="Y23" s="43"/>
      <c r="Z23" s="43"/>
      <c r="AA23" s="44"/>
    </row>
    <row r="24" spans="1:27" ht="15.75" customHeight="1" x14ac:dyDescent="0.2">
      <c r="A24" s="42"/>
      <c r="B24" s="43"/>
      <c r="C24" s="43">
        <v>1</v>
      </c>
      <c r="D24" s="176" t="e">
        <f>INGRESO!#REF!</f>
        <v>#REF!</v>
      </c>
      <c r="E24" s="160"/>
      <c r="F24" s="160"/>
      <c r="G24" s="51"/>
      <c r="H24" s="52">
        <v>6</v>
      </c>
      <c r="I24" s="176">
        <f>INGRESO!B47</f>
        <v>0</v>
      </c>
      <c r="J24" s="160"/>
      <c r="K24" s="160"/>
      <c r="L24" s="160"/>
      <c r="M24" s="160"/>
      <c r="N24" s="160"/>
      <c r="O24" s="43">
        <v>11</v>
      </c>
      <c r="P24" s="176">
        <f>INGRESO!B51</f>
        <v>0</v>
      </c>
      <c r="Q24" s="160"/>
      <c r="R24" s="160"/>
      <c r="S24" s="160"/>
      <c r="T24" s="51"/>
      <c r="U24" s="43">
        <v>16</v>
      </c>
      <c r="V24" s="176">
        <f>INGRESO!B59</f>
        <v>0</v>
      </c>
      <c r="W24" s="160"/>
      <c r="X24" s="160"/>
      <c r="Y24" s="160"/>
      <c r="Z24" s="43"/>
      <c r="AA24" s="44"/>
    </row>
    <row r="25" spans="1:27" ht="15.75" customHeight="1" x14ac:dyDescent="0.2">
      <c r="A25" s="42"/>
      <c r="B25" s="43"/>
      <c r="C25" s="43">
        <v>2</v>
      </c>
      <c r="D25" s="176">
        <f>INGRESO!B44</f>
        <v>0</v>
      </c>
      <c r="E25" s="160"/>
      <c r="F25" s="160"/>
      <c r="G25" s="51"/>
      <c r="H25" s="52">
        <v>7</v>
      </c>
      <c r="I25" s="176">
        <f>INGRESO!B48</f>
        <v>0</v>
      </c>
      <c r="J25" s="160"/>
      <c r="K25" s="160"/>
      <c r="L25" s="160"/>
      <c r="M25" s="160"/>
      <c r="N25" s="160"/>
      <c r="O25" s="43">
        <v>12</v>
      </c>
      <c r="P25" s="176">
        <f>INGRESO!B52</f>
        <v>0</v>
      </c>
      <c r="Q25" s="160"/>
      <c r="R25" s="160"/>
      <c r="S25" s="160"/>
      <c r="T25" s="51"/>
      <c r="U25" s="43">
        <v>17</v>
      </c>
      <c r="V25" s="176">
        <f>INGRESO!B60</f>
        <v>0</v>
      </c>
      <c r="W25" s="160"/>
      <c r="X25" s="160"/>
      <c r="Y25" s="160"/>
      <c r="Z25" s="43"/>
      <c r="AA25" s="44"/>
    </row>
    <row r="26" spans="1:27" ht="15.75" customHeight="1" x14ac:dyDescent="0.2">
      <c r="A26" s="42"/>
      <c r="B26" s="43"/>
      <c r="C26" s="43">
        <v>3</v>
      </c>
      <c r="D26" s="176" t="e">
        <f>INGRESO!#REF!</f>
        <v>#REF!</v>
      </c>
      <c r="E26" s="160"/>
      <c r="F26" s="160"/>
      <c r="G26" s="51"/>
      <c r="H26" s="52">
        <v>8</v>
      </c>
      <c r="I26" s="176">
        <f>INGRESO!B49</f>
        <v>0</v>
      </c>
      <c r="J26" s="160"/>
      <c r="K26" s="160"/>
      <c r="L26" s="160"/>
      <c r="M26" s="160"/>
      <c r="N26" s="160"/>
      <c r="O26" s="43">
        <v>13</v>
      </c>
      <c r="P26" s="176">
        <f>INGRESO!B53</f>
        <v>0</v>
      </c>
      <c r="Q26" s="160"/>
      <c r="R26" s="160"/>
      <c r="S26" s="160"/>
      <c r="T26" s="51"/>
      <c r="U26" s="43">
        <v>18</v>
      </c>
      <c r="V26" s="176">
        <f>INGRESO!B61</f>
        <v>0</v>
      </c>
      <c r="W26" s="160"/>
      <c r="X26" s="160"/>
      <c r="Y26" s="160"/>
      <c r="Z26" s="43"/>
      <c r="AA26" s="44"/>
    </row>
    <row r="27" spans="1:27" ht="15.75" customHeight="1" x14ac:dyDescent="0.2">
      <c r="A27" s="42"/>
      <c r="B27" s="43"/>
      <c r="C27" s="43">
        <v>4</v>
      </c>
      <c r="D27" s="176">
        <f>INGRESO!B45</f>
        <v>0</v>
      </c>
      <c r="E27" s="160"/>
      <c r="F27" s="160"/>
      <c r="G27" s="51"/>
      <c r="H27" s="52">
        <v>9</v>
      </c>
      <c r="I27" s="176">
        <f>INGRESO!B58</f>
        <v>0</v>
      </c>
      <c r="J27" s="160"/>
      <c r="K27" s="160"/>
      <c r="L27" s="160"/>
      <c r="M27" s="160"/>
      <c r="N27" s="160"/>
      <c r="O27" s="43">
        <v>14</v>
      </c>
      <c r="P27" s="176">
        <f>INGRESO!B54</f>
        <v>0</v>
      </c>
      <c r="Q27" s="160"/>
      <c r="R27" s="160"/>
      <c r="S27" s="160"/>
      <c r="T27" s="51"/>
      <c r="U27" s="43">
        <v>19</v>
      </c>
      <c r="V27" s="176">
        <f>INGRESO!B56</f>
        <v>0</v>
      </c>
      <c r="W27" s="160"/>
      <c r="X27" s="160"/>
      <c r="Y27" s="160"/>
      <c r="Z27" s="43"/>
      <c r="AA27" s="44"/>
    </row>
    <row r="28" spans="1:27" ht="15.75" customHeight="1" x14ac:dyDescent="0.2">
      <c r="A28" s="42"/>
      <c r="B28" s="43"/>
      <c r="C28" s="43">
        <v>5</v>
      </c>
      <c r="D28" s="176">
        <f>INGRESO!B46</f>
        <v>0</v>
      </c>
      <c r="E28" s="160"/>
      <c r="F28" s="160"/>
      <c r="G28" s="51"/>
      <c r="H28" s="52">
        <v>10</v>
      </c>
      <c r="I28" s="176">
        <f>INGRESO!B50</f>
        <v>0</v>
      </c>
      <c r="J28" s="160"/>
      <c r="K28" s="160"/>
      <c r="L28" s="160"/>
      <c r="M28" s="160"/>
      <c r="N28" s="160"/>
      <c r="O28" s="43">
        <v>15</v>
      </c>
      <c r="P28" s="176">
        <f>INGRESO!B55</f>
        <v>0</v>
      </c>
      <c r="Q28" s="160"/>
      <c r="R28" s="160"/>
      <c r="S28" s="160"/>
      <c r="T28" s="51"/>
      <c r="U28" s="43">
        <v>20</v>
      </c>
      <c r="V28" s="176">
        <f>INGRESO!B57</f>
        <v>0</v>
      </c>
      <c r="W28" s="160"/>
      <c r="X28" s="160"/>
      <c r="Y28" s="160"/>
      <c r="Z28" s="43"/>
      <c r="AA28" s="44"/>
    </row>
    <row r="29" spans="1:27" ht="2.25" customHeight="1" x14ac:dyDescent="0.2">
      <c r="A29" s="42"/>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4"/>
    </row>
    <row r="30" spans="1:27" ht="15.75" customHeight="1" x14ac:dyDescent="0.2">
      <c r="A30" s="42"/>
      <c r="B30" s="183" t="s">
        <v>71</v>
      </c>
      <c r="C30" s="175"/>
      <c r="D30" s="175"/>
      <c r="E30" s="175"/>
      <c r="F30" s="175"/>
      <c r="G30" s="184">
        <f>(COUNT(D24:F28))+COUNT(I24:N28)+COUNT(P24:S28)+COUNT(V24:Y28)</f>
        <v>18</v>
      </c>
      <c r="H30" s="160"/>
      <c r="I30" s="160"/>
      <c r="J30" s="54"/>
      <c r="K30" s="54"/>
      <c r="L30" s="54"/>
      <c r="M30" s="54"/>
      <c r="N30" s="54"/>
      <c r="O30" s="54"/>
      <c r="P30" s="54"/>
      <c r="Q30" s="54"/>
      <c r="R30" s="54"/>
      <c r="S30" s="54"/>
      <c r="T30" s="54"/>
      <c r="U30" s="54"/>
      <c r="V30" s="54"/>
      <c r="W30" s="54"/>
      <c r="X30" s="54"/>
      <c r="Y30" s="54"/>
      <c r="Z30" s="43"/>
      <c r="AA30" s="44"/>
    </row>
    <row r="31" spans="1:27" ht="15.75" customHeight="1" x14ac:dyDescent="0.2">
      <c r="A31" s="42"/>
      <c r="B31" s="183" t="s">
        <v>72</v>
      </c>
      <c r="C31" s="175"/>
      <c r="D31" s="175"/>
      <c r="E31" s="175"/>
      <c r="F31" s="54"/>
      <c r="G31" s="184">
        <v>1</v>
      </c>
      <c r="H31" s="160"/>
      <c r="I31" s="160"/>
      <c r="J31" s="54"/>
      <c r="K31" s="54"/>
      <c r="L31" s="54"/>
      <c r="M31" s="54"/>
      <c r="N31" s="54"/>
      <c r="O31" s="54"/>
      <c r="P31" s="54"/>
      <c r="Q31" s="54"/>
      <c r="R31" s="54"/>
      <c r="S31" s="54"/>
      <c r="T31" s="54"/>
      <c r="U31" s="54"/>
      <c r="V31" s="54"/>
      <c r="W31" s="54"/>
      <c r="X31" s="54"/>
      <c r="Y31" s="54"/>
      <c r="Z31" s="43"/>
      <c r="AA31" s="44"/>
    </row>
    <row r="32" spans="1:27" ht="6.75" customHeight="1" x14ac:dyDescent="0.2">
      <c r="A32" s="42"/>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4"/>
    </row>
    <row r="33" spans="1:27" ht="15.75" customHeight="1" x14ac:dyDescent="0.2">
      <c r="A33" s="42"/>
      <c r="B33" s="43" t="s">
        <v>73</v>
      </c>
      <c r="C33" s="43"/>
      <c r="D33" s="43"/>
      <c r="E33" s="43"/>
      <c r="F33" s="43"/>
      <c r="G33" s="43"/>
      <c r="H33" s="43"/>
      <c r="I33" s="43"/>
      <c r="J33" s="43"/>
      <c r="K33" s="43"/>
      <c r="L33" s="43"/>
      <c r="M33" s="43"/>
      <c r="N33" s="43"/>
      <c r="O33" s="43"/>
      <c r="P33" s="43"/>
      <c r="Q33" s="43"/>
      <c r="R33" s="43"/>
      <c r="S33" s="43"/>
      <c r="T33" s="43"/>
      <c r="U33" s="43"/>
      <c r="V33" s="43"/>
      <c r="W33" s="43"/>
      <c r="X33" s="43"/>
      <c r="Y33" s="43"/>
      <c r="Z33" s="43"/>
      <c r="AA33" s="44"/>
    </row>
    <row r="34" spans="1:27" ht="15.75" customHeight="1" x14ac:dyDescent="0.2">
      <c r="A34" s="55"/>
      <c r="B34" s="177" t="s">
        <v>79</v>
      </c>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9"/>
    </row>
    <row r="35" spans="1:27" ht="15" customHeight="1" x14ac:dyDescent="0.2">
      <c r="A35" s="55"/>
      <c r="B35" s="180"/>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81"/>
    </row>
    <row r="36" spans="1:27" ht="15.75" customHeight="1" x14ac:dyDescent="0.2">
      <c r="A36" s="55"/>
      <c r="B36" s="180"/>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81"/>
    </row>
    <row r="37" spans="1:27" ht="15.75" customHeight="1" x14ac:dyDescent="0.2">
      <c r="A37" s="55"/>
      <c r="B37" s="180"/>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81"/>
    </row>
    <row r="38" spans="1:27" ht="15.75" customHeight="1" x14ac:dyDescent="0.2">
      <c r="A38" s="55"/>
      <c r="B38" s="180"/>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81"/>
    </row>
    <row r="39" spans="1:27" ht="15.75" customHeight="1" x14ac:dyDescent="0.2">
      <c r="A39" s="55"/>
      <c r="B39" s="180"/>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81"/>
    </row>
    <row r="40" spans="1:27" ht="15.75" customHeight="1" x14ac:dyDescent="0.2">
      <c r="A40" s="55"/>
      <c r="B40" s="180"/>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81"/>
    </row>
    <row r="41" spans="1:27" ht="40.5" customHeight="1" x14ac:dyDescent="0.2">
      <c r="A41" s="55"/>
      <c r="B41" s="180"/>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81"/>
    </row>
    <row r="42" spans="1:27" ht="15.75" customHeight="1" x14ac:dyDescent="0.2">
      <c r="A42" s="55"/>
      <c r="B42" s="177" t="s">
        <v>80</v>
      </c>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79"/>
    </row>
    <row r="43" spans="1:27" ht="15.75" customHeight="1" x14ac:dyDescent="0.2">
      <c r="A43" s="55"/>
      <c r="B43" s="180"/>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81"/>
    </row>
    <row r="44" spans="1:27" ht="15.75" customHeight="1" x14ac:dyDescent="0.2">
      <c r="A44" s="55"/>
      <c r="B44" s="180"/>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81"/>
    </row>
    <row r="45" spans="1:27" ht="15.75" customHeight="1" x14ac:dyDescent="0.2">
      <c r="A45" s="55"/>
      <c r="B45" s="180"/>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81"/>
    </row>
    <row r="46" spans="1:27" ht="15.75" customHeight="1" x14ac:dyDescent="0.2">
      <c r="A46" s="55"/>
      <c r="B46" s="180"/>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81"/>
    </row>
    <row r="47" spans="1:27" ht="15.75" customHeight="1" x14ac:dyDescent="0.2">
      <c r="A47" s="55"/>
      <c r="B47" s="180"/>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81"/>
    </row>
    <row r="48" spans="1:27" ht="15.75" customHeight="1" x14ac:dyDescent="0.2">
      <c r="A48" s="55"/>
      <c r="B48" s="180"/>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81"/>
    </row>
    <row r="49" spans="1:27" ht="15.75" customHeight="1" x14ac:dyDescent="0.2">
      <c r="A49" s="55"/>
      <c r="B49" s="180"/>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81"/>
    </row>
    <row r="50" spans="1:27" ht="15.75" customHeight="1" x14ac:dyDescent="0.2">
      <c r="A50" s="55"/>
      <c r="B50" s="180"/>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81"/>
    </row>
    <row r="51" spans="1:27" ht="15.75" customHeight="1" x14ac:dyDescent="0.2">
      <c r="A51" s="55"/>
      <c r="B51" s="180"/>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81"/>
    </row>
    <row r="52" spans="1:27" ht="15.75" customHeight="1" x14ac:dyDescent="0.2">
      <c r="A52" s="55"/>
      <c r="B52" s="180"/>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81"/>
    </row>
    <row r="53" spans="1:27" ht="15.75" customHeight="1" x14ac:dyDescent="0.2">
      <c r="A53" s="55"/>
      <c r="B53" s="180"/>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81"/>
    </row>
    <row r="54" spans="1:27" ht="15.75" customHeight="1" x14ac:dyDescent="0.2">
      <c r="A54" s="55"/>
      <c r="B54" s="180"/>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81"/>
    </row>
    <row r="55" spans="1:27" ht="15.75" customHeight="1" x14ac:dyDescent="0.2">
      <c r="A55" s="55"/>
      <c r="B55" s="180"/>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81"/>
    </row>
    <row r="56" spans="1:27" ht="15.75" customHeight="1" x14ac:dyDescent="0.2">
      <c r="A56" s="55"/>
      <c r="B56" s="180"/>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81"/>
    </row>
    <row r="57" spans="1:27" ht="15.75" customHeight="1" x14ac:dyDescent="0.2">
      <c r="A57" s="55"/>
      <c r="B57" s="180"/>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81"/>
    </row>
    <row r="58" spans="1:27" ht="15.75" customHeight="1" x14ac:dyDescent="0.2">
      <c r="A58" s="55"/>
      <c r="B58" s="180"/>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81"/>
    </row>
    <row r="59" spans="1:27" ht="15.75" customHeight="1" x14ac:dyDescent="0.2">
      <c r="A59" s="55"/>
      <c r="B59" s="180"/>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81"/>
    </row>
    <row r="60" spans="1:27" ht="30" customHeight="1" x14ac:dyDescent="0.2">
      <c r="A60" s="56"/>
      <c r="B60" s="152"/>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6"/>
    </row>
    <row r="61" spans="1:27" ht="5.25" customHeight="1" x14ac:dyDescent="0.2">
      <c r="A61" s="55"/>
      <c r="B61" s="182" t="s">
        <v>76</v>
      </c>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9"/>
    </row>
    <row r="62" spans="1:27" ht="15.75" customHeight="1" x14ac:dyDescent="0.2">
      <c r="A62" s="55"/>
      <c r="B62" s="180"/>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81"/>
    </row>
    <row r="63" spans="1:27" ht="15.75" customHeight="1" x14ac:dyDescent="0.2">
      <c r="A63" s="55"/>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8"/>
    </row>
    <row r="64" spans="1:27" ht="15.75" customHeight="1" x14ac:dyDescent="0.2">
      <c r="A64" s="55"/>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8"/>
    </row>
    <row r="65" spans="1:27" ht="46.5" customHeight="1" x14ac:dyDescent="0.2">
      <c r="A65" s="55"/>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8"/>
    </row>
    <row r="66" spans="1:27" ht="14.25" customHeight="1" x14ac:dyDescent="0.2">
      <c r="A66" s="55"/>
      <c r="B66" s="195" t="str">
        <f>K8</f>
        <v>Ismael Jahir Cruz Topanda</v>
      </c>
      <c r="C66" s="160"/>
      <c r="D66" s="160"/>
      <c r="E66" s="160"/>
      <c r="F66" s="160"/>
      <c r="G66" s="160"/>
      <c r="H66" s="160"/>
      <c r="I66" s="160"/>
      <c r="J66" s="160"/>
      <c r="K66" s="57"/>
      <c r="L66" s="59"/>
      <c r="M66" s="59"/>
      <c r="N66" s="186"/>
      <c r="O66" s="160"/>
      <c r="P66" s="160"/>
      <c r="Q66" s="160"/>
      <c r="R66" s="160"/>
      <c r="S66" s="160"/>
      <c r="T66" s="160"/>
      <c r="U66" s="160"/>
      <c r="V66" s="160"/>
      <c r="W66" s="160"/>
      <c r="X66" s="160"/>
      <c r="Y66" s="160"/>
      <c r="Z66" s="57"/>
      <c r="AA66" s="58"/>
    </row>
    <row r="67" spans="1:27" ht="15.75" customHeight="1" x14ac:dyDescent="0.2">
      <c r="A67" s="55"/>
      <c r="B67" s="173" t="s">
        <v>77</v>
      </c>
      <c r="C67" s="168"/>
      <c r="D67" s="168"/>
      <c r="E67" s="168"/>
      <c r="F67" s="168"/>
      <c r="G67" s="168"/>
      <c r="H67" s="168"/>
      <c r="I67" s="168"/>
      <c r="J67" s="168"/>
      <c r="K67" s="57"/>
      <c r="L67" s="59"/>
      <c r="M67" s="60"/>
      <c r="N67" s="174" t="s">
        <v>78</v>
      </c>
      <c r="O67" s="175"/>
      <c r="P67" s="175"/>
      <c r="Q67" s="175"/>
      <c r="R67" s="175"/>
      <c r="S67" s="175"/>
      <c r="T67" s="175"/>
      <c r="U67" s="175"/>
      <c r="V67" s="175"/>
      <c r="W67" s="175"/>
      <c r="X67" s="175"/>
      <c r="Y67" s="175"/>
      <c r="Z67" s="57"/>
      <c r="AA67" s="58"/>
    </row>
    <row r="68" spans="1:27" ht="10.5" customHeight="1" x14ac:dyDescent="0.2">
      <c r="A68" s="61"/>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3"/>
    </row>
    <row r="69" spans="1:27" ht="15.75" customHeight="1" x14ac:dyDescent="0.2"/>
    <row r="70" spans="1:27" ht="15.75" customHeight="1" x14ac:dyDescent="0.2"/>
    <row r="71" spans="1:27" ht="15.75" customHeight="1" x14ac:dyDescent="0.2"/>
    <row r="72" spans="1:27" ht="15.75" customHeight="1" x14ac:dyDescent="0.2"/>
    <row r="73" spans="1:27" ht="15.75" customHeight="1" x14ac:dyDescent="0.2"/>
    <row r="74" spans="1:27" ht="15.75" customHeight="1" x14ac:dyDescent="0.2"/>
    <row r="75" spans="1:27" ht="15.75" customHeight="1" x14ac:dyDescent="0.2"/>
    <row r="76" spans="1:27" ht="15.75" customHeight="1" x14ac:dyDescent="0.2"/>
    <row r="77" spans="1:27" ht="15.75" customHeight="1" x14ac:dyDescent="0.2"/>
    <row r="78" spans="1:27" ht="15.75" customHeight="1" x14ac:dyDescent="0.2"/>
    <row r="79" spans="1:27" ht="15.75" customHeight="1" x14ac:dyDescent="0.2"/>
    <row r="80" spans="1:2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sheetData>
  <mergeCells count="60">
    <mergeCell ref="B15:C15"/>
    <mergeCell ref="H15:K15"/>
    <mergeCell ref="M15:N15"/>
    <mergeCell ref="B18:J18"/>
    <mergeCell ref="B19:D19"/>
    <mergeCell ref="E19:Y19"/>
    <mergeCell ref="K8:Y8"/>
    <mergeCell ref="E9:Y9"/>
    <mergeCell ref="B8:J8"/>
    <mergeCell ref="B9:D9"/>
    <mergeCell ref="B13:F13"/>
    <mergeCell ref="V6:W6"/>
    <mergeCell ref="B7:G7"/>
    <mergeCell ref="H7:Y7"/>
    <mergeCell ref="B1:Z1"/>
    <mergeCell ref="B3:C3"/>
    <mergeCell ref="D3:G3"/>
    <mergeCell ref="I3:K3"/>
    <mergeCell ref="L3:R3"/>
    <mergeCell ref="T3:V3"/>
    <mergeCell ref="W3:Z3"/>
    <mergeCell ref="B5:D5"/>
    <mergeCell ref="B6:D6"/>
    <mergeCell ref="M6:S6"/>
    <mergeCell ref="V24:Y24"/>
    <mergeCell ref="I25:N25"/>
    <mergeCell ref="P25:S25"/>
    <mergeCell ref="V25:Y25"/>
    <mergeCell ref="B20:D20"/>
    <mergeCell ref="E20:Y20"/>
    <mergeCell ref="B21:J21"/>
    <mergeCell ref="K21:Y21"/>
    <mergeCell ref="B23:E23"/>
    <mergeCell ref="B30:F30"/>
    <mergeCell ref="G30:I30"/>
    <mergeCell ref="D24:F24"/>
    <mergeCell ref="I24:N24"/>
    <mergeCell ref="P24:S24"/>
    <mergeCell ref="D25:F25"/>
    <mergeCell ref="D26:F26"/>
    <mergeCell ref="I26:N26"/>
    <mergeCell ref="P26:S26"/>
    <mergeCell ref="D27:F27"/>
    <mergeCell ref="P27:S27"/>
    <mergeCell ref="B67:J67"/>
    <mergeCell ref="N67:Y67"/>
    <mergeCell ref="V26:Y26"/>
    <mergeCell ref="V27:Y27"/>
    <mergeCell ref="V28:Y28"/>
    <mergeCell ref="B42:AA60"/>
    <mergeCell ref="B61:AA62"/>
    <mergeCell ref="B31:E31"/>
    <mergeCell ref="G31:I31"/>
    <mergeCell ref="B34:AA41"/>
    <mergeCell ref="D28:F28"/>
    <mergeCell ref="P28:S28"/>
    <mergeCell ref="I27:N27"/>
    <mergeCell ref="I28:N28"/>
    <mergeCell ref="B66:J66"/>
    <mergeCell ref="N66:Y66"/>
  </mergeCells>
  <printOptions horizontalCentered="1"/>
  <pageMargins left="0.7" right="0.7" top="0.75" bottom="0.75" header="0" footer="0"/>
  <pageSetup paperSize="9" fitToHeight="0" pageOrder="overThenDown" orientation="portrait"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B1001"/>
  <sheetViews>
    <sheetView workbookViewId="0"/>
  </sheetViews>
  <sheetFormatPr baseColWidth="10" defaultColWidth="14.5" defaultRowHeight="15" customHeight="1" x14ac:dyDescent="0.2"/>
  <cols>
    <col min="1" max="2" width="3.33203125" customWidth="1"/>
    <col min="3" max="3" width="10" customWidth="1"/>
    <col min="4" max="4" width="26.5" customWidth="1"/>
    <col min="5" max="5" width="16.6640625" customWidth="1"/>
    <col min="6" max="6" width="18.5" customWidth="1"/>
    <col min="7" max="7" width="19.6640625" customWidth="1"/>
    <col min="8" max="8" width="16.1640625" customWidth="1"/>
    <col min="9" max="28" width="10.6640625" customWidth="1"/>
  </cols>
  <sheetData>
    <row r="1" spans="1:28" x14ac:dyDescent="0.2">
      <c r="F1" s="65"/>
      <c r="G1" s="66" t="s">
        <v>81</v>
      </c>
      <c r="H1" s="67">
        <f ca="1">TODAY()</f>
        <v>46133</v>
      </c>
    </row>
    <row r="2" spans="1:28" ht="8.25" customHeight="1" x14ac:dyDescent="0.2"/>
    <row r="3" spans="1:28" ht="68.25" customHeight="1" x14ac:dyDescent="0.2">
      <c r="B3" s="39" t="s">
        <v>82</v>
      </c>
    </row>
    <row r="4" spans="1:28" ht="9.75" customHeight="1" x14ac:dyDescent="0.2"/>
    <row r="5" spans="1:28" ht="16" x14ac:dyDescent="0.2">
      <c r="A5" s="39"/>
      <c r="B5" s="39" t="s">
        <v>83</v>
      </c>
      <c r="C5" s="204">
        <f>INGRESO!B10</f>
        <v>0</v>
      </c>
      <c r="D5" s="143"/>
      <c r="E5" s="143"/>
      <c r="F5" s="69" t="s">
        <v>84</v>
      </c>
      <c r="G5" s="69" t="s">
        <v>85</v>
      </c>
    </row>
    <row r="6" spans="1:28" ht="16" x14ac:dyDescent="0.2">
      <c r="B6" s="205" t="str">
        <f>INGRESO!B6</f>
        <v>Ismael Jahir Cruz Topanda</v>
      </c>
      <c r="C6" s="143"/>
      <c r="D6" s="143"/>
      <c r="E6" s="69" t="s">
        <v>86</v>
      </c>
      <c r="F6" s="70" t="str">
        <f>INGRESO!B7</f>
        <v>1725057648</v>
      </c>
      <c r="G6" s="206" t="s">
        <v>87</v>
      </c>
      <c r="H6" s="143"/>
    </row>
    <row r="7" spans="1:28" ht="16" x14ac:dyDescent="0.2">
      <c r="B7" s="206" t="s">
        <v>88</v>
      </c>
      <c r="C7" s="143"/>
      <c r="D7" s="143"/>
      <c r="E7" s="71">
        <v>999569172</v>
      </c>
      <c r="F7" s="39" t="s">
        <v>89</v>
      </c>
      <c r="G7" s="207" t="s">
        <v>90</v>
      </c>
      <c r="H7" s="143"/>
    </row>
    <row r="8" spans="1:28" ht="16" x14ac:dyDescent="0.2">
      <c r="B8" s="69" t="s">
        <v>91</v>
      </c>
    </row>
    <row r="10" spans="1:28" ht="30" customHeight="1" x14ac:dyDescent="0.2">
      <c r="A10" s="72"/>
      <c r="B10" s="196" t="s">
        <v>35</v>
      </c>
      <c r="C10" s="148"/>
      <c r="D10" s="140"/>
      <c r="E10" s="73" t="s">
        <v>36</v>
      </c>
      <c r="F10" s="73" t="s">
        <v>37</v>
      </c>
      <c r="G10" s="73" t="s">
        <v>38</v>
      </c>
      <c r="H10" s="74" t="s">
        <v>92</v>
      </c>
      <c r="I10" s="72"/>
      <c r="J10" s="72"/>
      <c r="K10" s="72"/>
      <c r="L10" s="72"/>
      <c r="M10" s="72"/>
      <c r="N10" s="72"/>
      <c r="O10" s="72"/>
      <c r="P10" s="72"/>
      <c r="Q10" s="72"/>
      <c r="R10" s="72"/>
      <c r="S10" s="72"/>
      <c r="T10" s="72"/>
      <c r="U10" s="72"/>
      <c r="V10" s="72"/>
      <c r="W10" s="72"/>
      <c r="X10" s="72"/>
      <c r="Y10" s="72"/>
      <c r="Z10" s="72"/>
      <c r="AA10" s="72"/>
      <c r="AB10" s="72"/>
    </row>
    <row r="11" spans="1:28" x14ac:dyDescent="0.2">
      <c r="B11" s="197" t="str">
        <f>INGRESO!A39</f>
        <v>Ismael Jahir Cruz Topanda</v>
      </c>
      <c r="C11" s="148"/>
      <c r="D11" s="140"/>
      <c r="E11" s="75">
        <f>INGRESO!C39</f>
        <v>1725057648</v>
      </c>
      <c r="F11" s="76" t="str">
        <f>INGRESO!D39</f>
        <v>Línea Nueva</v>
      </c>
      <c r="G11" s="22" t="str">
        <f>INGRESO!E39</f>
        <v>cruz.t.isma13@gamail.com</v>
      </c>
      <c r="H11" s="77" t="s">
        <v>93</v>
      </c>
    </row>
    <row r="12" spans="1:28" x14ac:dyDescent="0.2">
      <c r="B12" s="197">
        <f>INGRESO!A40</f>
        <v>0</v>
      </c>
      <c r="C12" s="148"/>
      <c r="D12" s="140"/>
      <c r="E12" s="75">
        <f>INGRESO!C40</f>
        <v>0</v>
      </c>
      <c r="F12" s="76">
        <f>INGRESO!D40</f>
        <v>0</v>
      </c>
      <c r="G12" s="22">
        <f>INGRESO!E40</f>
        <v>0</v>
      </c>
      <c r="H12" s="77" t="s">
        <v>93</v>
      </c>
    </row>
    <row r="13" spans="1:28" x14ac:dyDescent="0.2">
      <c r="B13" s="197">
        <f>INGRESO!A41</f>
        <v>0</v>
      </c>
      <c r="C13" s="148"/>
      <c r="D13" s="140"/>
      <c r="E13" s="75">
        <f>INGRESO!C41</f>
        <v>0</v>
      </c>
      <c r="F13" s="76">
        <f>INGRESO!D41</f>
        <v>0</v>
      </c>
      <c r="G13" s="22">
        <f>INGRESO!E41</f>
        <v>0</v>
      </c>
      <c r="H13" s="77"/>
    </row>
    <row r="14" spans="1:28" ht="53.25" customHeight="1" x14ac:dyDescent="0.2">
      <c r="B14" s="201" t="s">
        <v>94</v>
      </c>
      <c r="C14" s="143"/>
      <c r="D14" s="143"/>
      <c r="E14" s="143"/>
      <c r="F14" s="143"/>
      <c r="G14" s="143"/>
      <c r="H14" s="143"/>
    </row>
    <row r="15" spans="1:28" ht="409.5" customHeight="1" x14ac:dyDescent="0.2">
      <c r="B15" s="202" t="s">
        <v>95</v>
      </c>
      <c r="C15" s="143"/>
      <c r="D15" s="143"/>
      <c r="E15" s="143"/>
      <c r="F15" s="143"/>
      <c r="G15" s="143"/>
      <c r="H15" s="143"/>
    </row>
    <row r="16" spans="1:28" ht="237.75" customHeight="1" x14ac:dyDescent="0.2">
      <c r="B16" s="202" t="s">
        <v>96</v>
      </c>
      <c r="C16" s="143"/>
      <c r="D16" s="143"/>
      <c r="E16" s="143"/>
      <c r="F16" s="143"/>
      <c r="G16" s="143"/>
      <c r="H16" s="143"/>
    </row>
    <row r="17" spans="2:8" ht="17.25" customHeight="1" x14ac:dyDescent="0.2">
      <c r="B17" s="203" t="s">
        <v>97</v>
      </c>
      <c r="C17" s="143"/>
      <c r="D17" s="198" t="str">
        <f>INGRESO!B6</f>
        <v>Ismael Jahir Cruz Topanda</v>
      </c>
      <c r="E17" s="143"/>
      <c r="F17" s="143"/>
      <c r="G17" s="204" t="s">
        <v>98</v>
      </c>
      <c r="H17" s="143"/>
    </row>
    <row r="18" spans="2:8" ht="84.75" customHeight="1" x14ac:dyDescent="0.2">
      <c r="B18" s="199" t="s">
        <v>99</v>
      </c>
      <c r="C18" s="143"/>
      <c r="D18" s="143"/>
      <c r="E18" s="143"/>
      <c r="F18" s="143"/>
      <c r="G18" s="143"/>
      <c r="H18" s="143"/>
    </row>
    <row r="19" spans="2:8" x14ac:dyDescent="0.2">
      <c r="B19" s="200" t="s">
        <v>100</v>
      </c>
      <c r="C19" s="143"/>
      <c r="D19" s="143"/>
      <c r="E19" s="143"/>
      <c r="F19" s="143"/>
      <c r="G19" s="143"/>
      <c r="H19" s="143"/>
    </row>
    <row r="20" spans="2:8" ht="81.75" customHeight="1" x14ac:dyDescent="0.2"/>
    <row r="21" spans="2:8" x14ac:dyDescent="0.2">
      <c r="E21" s="79" t="s">
        <v>101</v>
      </c>
      <c r="F21" s="80">
        <f>INGRESO!B10</f>
        <v>0</v>
      </c>
    </row>
    <row r="22" spans="2:8" ht="15.75" customHeight="1" x14ac:dyDescent="0.2">
      <c r="E22" s="81" t="s">
        <v>102</v>
      </c>
      <c r="F22" s="82">
        <f>E11</f>
        <v>1725057648</v>
      </c>
    </row>
    <row r="23" spans="2:8" ht="15.75" customHeight="1" x14ac:dyDescent="0.2"/>
    <row r="24" spans="2:8" ht="15.75" customHeight="1" x14ac:dyDescent="0.2"/>
    <row r="25" spans="2:8" ht="15.75" customHeight="1" x14ac:dyDescent="0.2"/>
    <row r="26" spans="2:8" ht="15.75" customHeight="1" x14ac:dyDescent="0.2">
      <c r="C26" s="83"/>
      <c r="F26" s="83"/>
    </row>
    <row r="27" spans="2:8" ht="86.25" customHeight="1" x14ac:dyDescent="0.2"/>
    <row r="28" spans="2:8" ht="15.75" customHeight="1" x14ac:dyDescent="0.2">
      <c r="C28" s="84"/>
      <c r="D28" s="85"/>
      <c r="F28" s="84"/>
    </row>
    <row r="29" spans="2:8" ht="15.75" customHeight="1" x14ac:dyDescent="0.2">
      <c r="C29" s="86"/>
      <c r="D29" s="85"/>
      <c r="F29" s="87"/>
      <c r="G29" s="85"/>
    </row>
    <row r="30" spans="2:8" ht="15.75" customHeight="1" x14ac:dyDescent="0.2"/>
    <row r="31" spans="2:8" ht="15.75" customHeight="1" x14ac:dyDescent="0.2"/>
    <row r="32" spans="2: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7">
    <mergeCell ref="C5:E5"/>
    <mergeCell ref="B6:D6"/>
    <mergeCell ref="G6:H6"/>
    <mergeCell ref="B7:D7"/>
    <mergeCell ref="G7:H7"/>
    <mergeCell ref="B10:D10"/>
    <mergeCell ref="B11:D11"/>
    <mergeCell ref="D17:F17"/>
    <mergeCell ref="B18:H18"/>
    <mergeCell ref="B19:H19"/>
    <mergeCell ref="B12:D12"/>
    <mergeCell ref="B13:D13"/>
    <mergeCell ref="B14:H14"/>
    <mergeCell ref="B15:H15"/>
    <mergeCell ref="B16:H16"/>
    <mergeCell ref="B17:C17"/>
    <mergeCell ref="G17:H17"/>
  </mergeCells>
  <pageMargins left="0.25" right="0.25"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996"/>
  <sheetViews>
    <sheetView workbookViewId="0"/>
  </sheetViews>
  <sheetFormatPr baseColWidth="10" defaultColWidth="14.5" defaultRowHeight="15" customHeight="1" x14ac:dyDescent="0.2"/>
  <cols>
    <col min="1" max="2" width="3.33203125" customWidth="1"/>
    <col min="3" max="3" width="10" customWidth="1"/>
    <col min="4" max="4" width="29" customWidth="1"/>
    <col min="5" max="5" width="19.1640625" customWidth="1"/>
    <col min="6" max="6" width="20.6640625" customWidth="1"/>
    <col min="7" max="7" width="18.6640625" customWidth="1"/>
    <col min="8" max="8" width="9.6640625" customWidth="1"/>
    <col min="9" max="28" width="10.6640625" customWidth="1"/>
  </cols>
  <sheetData>
    <row r="1" spans="1:28" x14ac:dyDescent="0.2">
      <c r="F1" s="66" t="s">
        <v>81</v>
      </c>
      <c r="G1" s="67">
        <f ca="1">TODAY()</f>
        <v>46133</v>
      </c>
      <c r="H1" s="88"/>
    </row>
    <row r="2" spans="1:28" ht="8.25" customHeight="1" x14ac:dyDescent="0.2"/>
    <row r="3" spans="1:28" ht="68.25" customHeight="1" x14ac:dyDescent="0.2">
      <c r="B3" s="39" t="s">
        <v>103</v>
      </c>
    </row>
    <row r="4" spans="1:28" ht="9.75" customHeight="1" x14ac:dyDescent="0.2"/>
    <row r="5" spans="1:28" ht="16" x14ac:dyDescent="0.2">
      <c r="A5" s="39"/>
      <c r="B5" s="39" t="s">
        <v>83</v>
      </c>
      <c r="C5" s="207" t="str">
        <f>INGRESO!B6</f>
        <v>Ismael Jahir Cruz Topanda</v>
      </c>
      <c r="D5" s="143"/>
      <c r="E5" s="89" t="s">
        <v>104</v>
      </c>
      <c r="F5" s="90"/>
      <c r="G5" s="208" t="str">
        <f>INGRESO!B7</f>
        <v>1725057648</v>
      </c>
      <c r="H5" s="143"/>
    </row>
    <row r="6" spans="1:28" x14ac:dyDescent="0.2">
      <c r="B6" s="209" t="s">
        <v>105</v>
      </c>
      <c r="C6" s="143"/>
      <c r="D6" s="143"/>
    </row>
    <row r="8" spans="1:28" x14ac:dyDescent="0.2">
      <c r="A8" s="72"/>
      <c r="B8" s="196" t="s">
        <v>35</v>
      </c>
      <c r="C8" s="148"/>
      <c r="D8" s="140"/>
      <c r="E8" s="73" t="s">
        <v>36</v>
      </c>
      <c r="F8" s="73" t="s">
        <v>37</v>
      </c>
      <c r="G8" s="196" t="s">
        <v>38</v>
      </c>
      <c r="H8" s="140"/>
      <c r="I8" s="72"/>
      <c r="J8" s="72"/>
      <c r="K8" s="72"/>
      <c r="L8" s="72"/>
      <c r="M8" s="72"/>
      <c r="N8" s="72"/>
      <c r="O8" s="72"/>
      <c r="P8" s="72"/>
      <c r="Q8" s="72"/>
      <c r="R8" s="72"/>
      <c r="S8" s="72"/>
      <c r="T8" s="72"/>
      <c r="U8" s="72"/>
      <c r="V8" s="72"/>
      <c r="W8" s="72"/>
      <c r="X8" s="72"/>
      <c r="Y8" s="72"/>
      <c r="Z8" s="72"/>
      <c r="AA8" s="72"/>
      <c r="AB8" s="72"/>
    </row>
    <row r="9" spans="1:28" x14ac:dyDescent="0.2">
      <c r="B9" s="210" t="str">
        <f>C5</f>
        <v>Ismael Jahir Cruz Topanda</v>
      </c>
      <c r="C9" s="148"/>
      <c r="D9" s="140"/>
      <c r="E9" s="91">
        <f>INGRESO!B9</f>
        <v>0</v>
      </c>
      <c r="F9" s="76" t="str">
        <f>INGRESO!D39</f>
        <v>Línea Nueva</v>
      </c>
      <c r="G9" s="197" t="str">
        <f>INGRESO!E39</f>
        <v>cruz.t.isma13@gamail.com</v>
      </c>
      <c r="H9" s="140"/>
    </row>
    <row r="10" spans="1:28" x14ac:dyDescent="0.2">
      <c r="B10" s="197">
        <f>INGRESO!A40</f>
        <v>0</v>
      </c>
      <c r="C10" s="148"/>
      <c r="D10" s="140"/>
      <c r="E10" s="75">
        <f>INGRESO!C40</f>
        <v>0</v>
      </c>
      <c r="F10" s="76">
        <f>INGRESO!D40</f>
        <v>0</v>
      </c>
      <c r="G10" s="197">
        <f>INGRESO!E40</f>
        <v>0</v>
      </c>
      <c r="H10" s="140"/>
    </row>
    <row r="11" spans="1:28" x14ac:dyDescent="0.2">
      <c r="B11" s="197">
        <f>INGRESO!A41</f>
        <v>0</v>
      </c>
      <c r="C11" s="148"/>
      <c r="D11" s="140"/>
      <c r="E11" s="75">
        <f>INGRESO!C41</f>
        <v>0</v>
      </c>
      <c r="F11" s="76">
        <f>INGRESO!D41</f>
        <v>0</v>
      </c>
      <c r="G11" s="197">
        <f>INGRESO!E41</f>
        <v>0</v>
      </c>
      <c r="H11" s="140"/>
    </row>
    <row r="12" spans="1:28" ht="398.25" customHeight="1" x14ac:dyDescent="0.2">
      <c r="B12" s="202" t="s">
        <v>106</v>
      </c>
      <c r="C12" s="143"/>
      <c r="D12" s="143"/>
      <c r="E12" s="143"/>
      <c r="F12" s="143"/>
      <c r="G12" s="143"/>
      <c r="H12" s="143"/>
    </row>
    <row r="13" spans="1:28" ht="273.75" customHeight="1" x14ac:dyDescent="0.2">
      <c r="B13" s="202" t="s">
        <v>107</v>
      </c>
      <c r="C13" s="143"/>
      <c r="D13" s="143"/>
      <c r="E13" s="143"/>
      <c r="F13" s="143"/>
      <c r="G13" s="143"/>
      <c r="H13" s="143"/>
    </row>
    <row r="14" spans="1:28" x14ac:dyDescent="0.2">
      <c r="B14" s="200" t="s">
        <v>100</v>
      </c>
      <c r="C14" s="143"/>
      <c r="D14" s="143"/>
      <c r="E14" s="143"/>
      <c r="F14" s="143"/>
      <c r="G14" s="143"/>
      <c r="H14" s="143"/>
    </row>
    <row r="15" spans="1:28" ht="81.75" customHeight="1" x14ac:dyDescent="0.2">
      <c r="E15" s="92"/>
      <c r="F15" s="92"/>
    </row>
    <row r="16" spans="1:28" x14ac:dyDescent="0.2">
      <c r="E16" s="93" t="s">
        <v>101</v>
      </c>
      <c r="F16" s="82" t="str">
        <f>B9</f>
        <v>Ismael Jahir Cruz Topanda</v>
      </c>
    </row>
    <row r="17" spans="3:7" ht="15.75" customHeight="1" x14ac:dyDescent="0.2">
      <c r="E17" s="94" t="s">
        <v>102</v>
      </c>
      <c r="F17" s="95">
        <f>E9</f>
        <v>0</v>
      </c>
    </row>
    <row r="18" spans="3:7" ht="15.75" customHeight="1" x14ac:dyDescent="0.2"/>
    <row r="19" spans="3:7" ht="15.75" customHeight="1" x14ac:dyDescent="0.2"/>
    <row r="20" spans="3:7" ht="15.75" customHeight="1" x14ac:dyDescent="0.2"/>
    <row r="21" spans="3:7" ht="15.75" customHeight="1" x14ac:dyDescent="0.2">
      <c r="C21" s="200" t="s">
        <v>108</v>
      </c>
      <c r="D21" s="143"/>
      <c r="F21" s="200" t="s">
        <v>108</v>
      </c>
      <c r="G21" s="143"/>
    </row>
    <row r="22" spans="3:7" ht="86.25" customHeight="1" x14ac:dyDescent="0.2">
      <c r="C22" s="92"/>
      <c r="D22" s="92"/>
      <c r="F22" s="92"/>
      <c r="G22" s="92"/>
    </row>
    <row r="23" spans="3:7" ht="15.75" customHeight="1" x14ac:dyDescent="0.2">
      <c r="C23" s="93" t="s">
        <v>101</v>
      </c>
      <c r="D23" s="80">
        <f>B10</f>
        <v>0</v>
      </c>
      <c r="E23" s="96"/>
      <c r="F23" s="93" t="s">
        <v>101</v>
      </c>
      <c r="G23" s="80">
        <f>B11</f>
        <v>0</v>
      </c>
    </row>
    <row r="24" spans="3:7" ht="15.75" customHeight="1" x14ac:dyDescent="0.2">
      <c r="C24" s="94" t="s">
        <v>102</v>
      </c>
      <c r="D24" s="97">
        <f>E10</f>
        <v>0</v>
      </c>
      <c r="E24" s="96"/>
      <c r="F24" s="94" t="s">
        <v>102</v>
      </c>
      <c r="G24" s="97">
        <f>E11</f>
        <v>0</v>
      </c>
    </row>
    <row r="25" spans="3:7" ht="15.75" customHeight="1" x14ac:dyDescent="0.2"/>
    <row r="26" spans="3:7" ht="15.75" customHeight="1" x14ac:dyDescent="0.2"/>
    <row r="27" spans="3:7" ht="15.75" customHeight="1" x14ac:dyDescent="0.2"/>
    <row r="28" spans="3:7" ht="15.75" customHeight="1" x14ac:dyDescent="0.2"/>
    <row r="29" spans="3:7" ht="15.75" customHeight="1" x14ac:dyDescent="0.2"/>
    <row r="30" spans="3:7" ht="15.75" customHeight="1" x14ac:dyDescent="0.2"/>
    <row r="31" spans="3:7" ht="15.75" customHeight="1" x14ac:dyDescent="0.2"/>
    <row r="32" spans="3: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mergeCells count="16">
    <mergeCell ref="B13:H13"/>
    <mergeCell ref="B14:H14"/>
    <mergeCell ref="C21:D21"/>
    <mergeCell ref="F21:G21"/>
    <mergeCell ref="C5:D5"/>
    <mergeCell ref="G5:H5"/>
    <mergeCell ref="B6:D6"/>
    <mergeCell ref="B8:D8"/>
    <mergeCell ref="G8:H8"/>
    <mergeCell ref="B9:D9"/>
    <mergeCell ref="B10:D10"/>
    <mergeCell ref="G9:H9"/>
    <mergeCell ref="G10:H10"/>
    <mergeCell ref="B11:D11"/>
    <mergeCell ref="G11:H11"/>
    <mergeCell ref="B12:H12"/>
  </mergeCells>
  <pageMargins left="0.25" right="0.25" top="0.75" bottom="0.75" header="0" footer="0"/>
  <pageSetup paperSize="9"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1:F54"/>
  <sheetViews>
    <sheetView workbookViewId="0"/>
  </sheetViews>
  <sheetFormatPr baseColWidth="10" defaultColWidth="14.5" defaultRowHeight="15" customHeight="1" x14ac:dyDescent="0.2"/>
  <cols>
    <col min="1" max="1" width="13" customWidth="1"/>
    <col min="2" max="2" width="22.83203125" customWidth="1"/>
    <col min="3" max="3" width="22" customWidth="1"/>
    <col min="4" max="4" width="22.5" customWidth="1"/>
    <col min="6" max="6" width="23" customWidth="1"/>
  </cols>
  <sheetData>
    <row r="1" spans="2:6" ht="33" x14ac:dyDescent="0.4">
      <c r="B1" s="214" t="s">
        <v>109</v>
      </c>
      <c r="C1" s="143"/>
      <c r="D1" s="143"/>
      <c r="E1" s="143"/>
      <c r="F1" s="143"/>
    </row>
    <row r="2" spans="2:6" ht="19" x14ac:dyDescent="0.25">
      <c r="B2" s="215" t="s">
        <v>110</v>
      </c>
      <c r="C2" s="148"/>
      <c r="D2" s="148"/>
      <c r="E2" s="148"/>
      <c r="F2" s="140"/>
    </row>
    <row r="3" spans="2:6" x14ac:dyDescent="0.2">
      <c r="B3" s="22" t="s">
        <v>111</v>
      </c>
      <c r="C3" s="216" t="str">
        <f>INGRESO!B6</f>
        <v>Ismael Jahir Cruz Topanda</v>
      </c>
      <c r="D3" s="148"/>
      <c r="E3" s="148"/>
      <c r="F3" s="140"/>
    </row>
    <row r="4" spans="2:6" x14ac:dyDescent="0.2">
      <c r="B4" s="22" t="s">
        <v>112</v>
      </c>
      <c r="C4" s="216" t="str">
        <f>INGRESO!B7</f>
        <v>1725057648</v>
      </c>
      <c r="D4" s="148"/>
      <c r="E4" s="148"/>
      <c r="F4" s="140"/>
    </row>
    <row r="5" spans="2:6" x14ac:dyDescent="0.2">
      <c r="B5" s="22" t="s">
        <v>113</v>
      </c>
      <c r="C5" s="217">
        <f ca="1">TODAY()</f>
        <v>46133</v>
      </c>
      <c r="D5" s="148"/>
      <c r="E5" s="148"/>
      <c r="F5" s="140"/>
    </row>
    <row r="7" spans="2:6" x14ac:dyDescent="0.2">
      <c r="B7" s="200" t="s">
        <v>114</v>
      </c>
      <c r="C7" s="143"/>
      <c r="D7" s="143"/>
      <c r="E7" s="143"/>
      <c r="F7" s="143"/>
    </row>
    <row r="8" spans="2:6" x14ac:dyDescent="0.2">
      <c r="B8" s="98" t="s">
        <v>115</v>
      </c>
      <c r="C8" s="98" t="s">
        <v>116</v>
      </c>
      <c r="D8" s="98" t="s">
        <v>117</v>
      </c>
      <c r="E8" s="98" t="s">
        <v>118</v>
      </c>
      <c r="F8" s="98" t="s">
        <v>119</v>
      </c>
    </row>
    <row r="9" spans="2:6" x14ac:dyDescent="0.2">
      <c r="B9" s="77" t="s">
        <v>120</v>
      </c>
      <c r="C9" s="77" t="s">
        <v>121</v>
      </c>
      <c r="D9" s="77" t="s">
        <v>122</v>
      </c>
      <c r="E9" s="77" t="s">
        <v>123</v>
      </c>
      <c r="F9" s="77" t="s">
        <v>121</v>
      </c>
    </row>
    <row r="10" spans="2:6" x14ac:dyDescent="0.2">
      <c r="B10" s="77" t="s">
        <v>124</v>
      </c>
      <c r="C10" s="77" t="s">
        <v>121</v>
      </c>
      <c r="D10" s="77" t="s">
        <v>122</v>
      </c>
      <c r="E10" s="77" t="s">
        <v>123</v>
      </c>
      <c r="F10" s="77" t="s">
        <v>121</v>
      </c>
    </row>
    <row r="11" spans="2:6" x14ac:dyDescent="0.2">
      <c r="B11" s="77" t="s">
        <v>125</v>
      </c>
      <c r="C11" s="77" t="s">
        <v>121</v>
      </c>
      <c r="D11" s="77" t="s">
        <v>122</v>
      </c>
      <c r="E11" s="77" t="s">
        <v>123</v>
      </c>
      <c r="F11" s="77" t="s">
        <v>121</v>
      </c>
    </row>
    <row r="12" spans="2:6" x14ac:dyDescent="0.2">
      <c r="B12" s="77" t="s">
        <v>126</v>
      </c>
      <c r="C12" s="77" t="s">
        <v>121</v>
      </c>
      <c r="D12" s="77" t="s">
        <v>122</v>
      </c>
      <c r="E12" s="77" t="s">
        <v>123</v>
      </c>
      <c r="F12" s="77" t="s">
        <v>121</v>
      </c>
    </row>
    <row r="13" spans="2:6" x14ac:dyDescent="0.2">
      <c r="B13" s="77" t="s">
        <v>127</v>
      </c>
      <c r="C13" s="77" t="s">
        <v>121</v>
      </c>
      <c r="D13" s="77" t="s">
        <v>122</v>
      </c>
      <c r="E13" s="77" t="s">
        <v>123</v>
      </c>
      <c r="F13" s="77" t="s">
        <v>121</v>
      </c>
    </row>
    <row r="14" spans="2:6" x14ac:dyDescent="0.2">
      <c r="B14" s="77" t="s">
        <v>128</v>
      </c>
      <c r="C14" s="77" t="s">
        <v>121</v>
      </c>
      <c r="D14" s="77" t="s">
        <v>122</v>
      </c>
      <c r="E14" s="77" t="s">
        <v>123</v>
      </c>
      <c r="F14" s="77" t="s">
        <v>121</v>
      </c>
    </row>
    <row r="15" spans="2:6" x14ac:dyDescent="0.2">
      <c r="B15" s="77" t="s">
        <v>129</v>
      </c>
      <c r="C15" s="77"/>
      <c r="D15" s="77" t="s">
        <v>130</v>
      </c>
      <c r="E15" s="77" t="s">
        <v>131</v>
      </c>
      <c r="F15" s="77" t="s">
        <v>121</v>
      </c>
    </row>
    <row r="17" spans="2:6" x14ac:dyDescent="0.2">
      <c r="B17" s="202" t="s">
        <v>132</v>
      </c>
      <c r="C17" s="143"/>
      <c r="D17" s="143"/>
      <c r="E17" s="143"/>
      <c r="F17" s="143"/>
    </row>
    <row r="18" spans="2:6" x14ac:dyDescent="0.2">
      <c r="B18" s="39" t="s">
        <v>133</v>
      </c>
    </row>
    <row r="19" spans="2:6" ht="24.75" customHeight="1" x14ac:dyDescent="0.2"/>
    <row r="20" spans="2:6" ht="9" customHeight="1" x14ac:dyDescent="0.2"/>
    <row r="21" spans="2:6" ht="33.75" customHeight="1" x14ac:dyDescent="0.2">
      <c r="B21" s="39" t="s">
        <v>134</v>
      </c>
    </row>
    <row r="22" spans="2:6" x14ac:dyDescent="0.2">
      <c r="B22" s="99"/>
      <c r="C22" s="99"/>
      <c r="E22" s="211" t="s">
        <v>135</v>
      </c>
      <c r="F22" s="212"/>
    </row>
    <row r="24" spans="2:6" x14ac:dyDescent="0.2">
      <c r="B24" s="39" t="s">
        <v>136</v>
      </c>
      <c r="C24" s="85">
        <v>992503795</v>
      </c>
      <c r="D24" s="65" t="s">
        <v>137</v>
      </c>
      <c r="E24" s="213"/>
      <c r="F24" s="145"/>
    </row>
    <row r="25" spans="2:6" x14ac:dyDescent="0.2">
      <c r="C25" s="85">
        <v>984994680</v>
      </c>
      <c r="D25" s="65"/>
    </row>
    <row r="26" spans="2:6" x14ac:dyDescent="0.2">
      <c r="D26" s="65" t="s">
        <v>138</v>
      </c>
      <c r="E26" s="213"/>
      <c r="F26" s="145"/>
    </row>
    <row r="29" spans="2:6" ht="33" x14ac:dyDescent="0.4">
      <c r="B29" s="214" t="s">
        <v>109</v>
      </c>
      <c r="C29" s="143"/>
      <c r="D29" s="143"/>
      <c r="E29" s="143"/>
      <c r="F29" s="143"/>
    </row>
    <row r="30" spans="2:6" ht="19" x14ac:dyDescent="0.25">
      <c r="B30" s="215" t="s">
        <v>110</v>
      </c>
      <c r="C30" s="148"/>
      <c r="D30" s="148"/>
      <c r="E30" s="148"/>
      <c r="F30" s="140"/>
    </row>
    <row r="31" spans="2:6" x14ac:dyDescent="0.2">
      <c r="B31" s="22" t="s">
        <v>111</v>
      </c>
      <c r="C31" s="216" t="str">
        <f t="shared" ref="C31:C33" si="0">C3</f>
        <v>Ismael Jahir Cruz Topanda</v>
      </c>
      <c r="D31" s="148"/>
      <c r="E31" s="148"/>
      <c r="F31" s="140"/>
    </row>
    <row r="32" spans="2:6" x14ac:dyDescent="0.2">
      <c r="B32" s="22" t="s">
        <v>112</v>
      </c>
      <c r="C32" s="216" t="str">
        <f t="shared" si="0"/>
        <v>1725057648</v>
      </c>
      <c r="D32" s="148"/>
      <c r="E32" s="148"/>
      <c r="F32" s="140"/>
    </row>
    <row r="33" spans="2:6" x14ac:dyDescent="0.2">
      <c r="B33" s="22" t="s">
        <v>113</v>
      </c>
      <c r="C33" s="217">
        <f t="shared" ca="1" si="0"/>
        <v>46133</v>
      </c>
      <c r="D33" s="148"/>
      <c r="E33" s="148"/>
      <c r="F33" s="140"/>
    </row>
    <row r="35" spans="2:6" x14ac:dyDescent="0.2">
      <c r="B35" s="200" t="s">
        <v>114</v>
      </c>
      <c r="C35" s="143"/>
      <c r="D35" s="143"/>
      <c r="E35" s="143"/>
      <c r="F35" s="143"/>
    </row>
    <row r="36" spans="2:6" x14ac:dyDescent="0.2">
      <c r="B36" s="98" t="s">
        <v>115</v>
      </c>
      <c r="C36" s="98" t="s">
        <v>116</v>
      </c>
      <c r="D36" s="98" t="s">
        <v>117</v>
      </c>
      <c r="E36" s="98" t="s">
        <v>118</v>
      </c>
      <c r="F36" s="98" t="s">
        <v>119</v>
      </c>
    </row>
    <row r="37" spans="2:6" x14ac:dyDescent="0.2">
      <c r="B37" s="77" t="str">
        <f t="shared" ref="B37:F37" si="1">B9</f>
        <v>895930100111477706</v>
      </c>
      <c r="C37" s="77" t="str">
        <f t="shared" si="1"/>
        <v>PENDIENTE</v>
      </c>
      <c r="D37" s="77" t="str">
        <f t="shared" si="1"/>
        <v>SIN LIMITE 10</v>
      </c>
      <c r="E37" s="77" t="str">
        <f t="shared" si="1"/>
        <v>$10.00</v>
      </c>
      <c r="F37" s="77" t="str">
        <f t="shared" si="1"/>
        <v>PENDIENTE</v>
      </c>
    </row>
    <row r="38" spans="2:6" x14ac:dyDescent="0.2">
      <c r="B38" s="77" t="str">
        <f t="shared" ref="B38:F38" si="2">B10</f>
        <v>895930100111477707</v>
      </c>
      <c r="C38" s="77" t="str">
        <f t="shared" si="2"/>
        <v>PENDIENTE</v>
      </c>
      <c r="D38" s="77" t="str">
        <f t="shared" si="2"/>
        <v>SIN LIMITE 10</v>
      </c>
      <c r="E38" s="77" t="str">
        <f t="shared" si="2"/>
        <v>$10.00</v>
      </c>
      <c r="F38" s="77" t="str">
        <f t="shared" si="2"/>
        <v>PENDIENTE</v>
      </c>
    </row>
    <row r="39" spans="2:6" x14ac:dyDescent="0.2">
      <c r="B39" s="77" t="str">
        <f t="shared" ref="B39:F39" si="3">B11</f>
        <v>895930100111477705</v>
      </c>
      <c r="C39" s="77" t="str">
        <f t="shared" si="3"/>
        <v>PENDIENTE</v>
      </c>
      <c r="D39" s="77" t="str">
        <f t="shared" si="3"/>
        <v>SIN LIMITE 10</v>
      </c>
      <c r="E39" s="77" t="str">
        <f t="shared" si="3"/>
        <v>$10.00</v>
      </c>
      <c r="F39" s="77" t="str">
        <f t="shared" si="3"/>
        <v>PENDIENTE</v>
      </c>
    </row>
    <row r="40" spans="2:6" x14ac:dyDescent="0.2">
      <c r="B40" s="77" t="str">
        <f t="shared" ref="B40:F40" si="4">B12</f>
        <v>895930100111477671</v>
      </c>
      <c r="C40" s="77" t="str">
        <f t="shared" si="4"/>
        <v>PENDIENTE</v>
      </c>
      <c r="D40" s="77" t="str">
        <f t="shared" si="4"/>
        <v>SIN LIMITE 10</v>
      </c>
      <c r="E40" s="77" t="str">
        <f t="shared" si="4"/>
        <v>$10.00</v>
      </c>
      <c r="F40" s="77" t="str">
        <f t="shared" si="4"/>
        <v>PENDIENTE</v>
      </c>
    </row>
    <row r="41" spans="2:6" x14ac:dyDescent="0.2">
      <c r="B41" s="77" t="str">
        <f t="shared" ref="B41:F41" si="5">B13</f>
        <v>895930100111477678</v>
      </c>
      <c r="C41" s="77" t="str">
        <f t="shared" si="5"/>
        <v>PENDIENTE</v>
      </c>
      <c r="D41" s="77" t="str">
        <f t="shared" si="5"/>
        <v>SIN LIMITE 10</v>
      </c>
      <c r="E41" s="77" t="str">
        <f t="shared" si="5"/>
        <v>$10.00</v>
      </c>
      <c r="F41" s="77" t="str">
        <f t="shared" si="5"/>
        <v>PENDIENTE</v>
      </c>
    </row>
    <row r="42" spans="2:6" x14ac:dyDescent="0.2">
      <c r="B42" s="77" t="str">
        <f t="shared" ref="B42:F42" si="6">B14</f>
        <v>895930100111477714</v>
      </c>
      <c r="C42" s="77" t="str">
        <f t="shared" si="6"/>
        <v>PENDIENTE</v>
      </c>
      <c r="D42" s="77" t="str">
        <f t="shared" si="6"/>
        <v>SIN LIMITE 10</v>
      </c>
      <c r="E42" s="77" t="str">
        <f t="shared" si="6"/>
        <v>$10.00</v>
      </c>
      <c r="F42" s="77" t="str">
        <f t="shared" si="6"/>
        <v>PENDIENTE</v>
      </c>
    </row>
    <row r="43" spans="2:6" x14ac:dyDescent="0.2">
      <c r="B43" s="77" t="str">
        <f t="shared" ref="B43:F43" si="7">B15</f>
        <v>895930100111445438</v>
      </c>
      <c r="C43" s="77">
        <f t="shared" si="7"/>
        <v>0</v>
      </c>
      <c r="D43" s="77" t="str">
        <f t="shared" si="7"/>
        <v>SIN LIMITE 15</v>
      </c>
      <c r="E43" s="77" t="str">
        <f t="shared" si="7"/>
        <v>$15.00</v>
      </c>
      <c r="F43" s="77" t="str">
        <f t="shared" si="7"/>
        <v>PENDIENTE</v>
      </c>
    </row>
    <row r="45" spans="2:6" x14ac:dyDescent="0.2">
      <c r="B45" s="202" t="s">
        <v>132</v>
      </c>
      <c r="C45" s="143"/>
      <c r="D45" s="143"/>
      <c r="E45" s="143"/>
      <c r="F45" s="143"/>
    </row>
    <row r="46" spans="2:6" x14ac:dyDescent="0.2">
      <c r="B46" s="39" t="s">
        <v>133</v>
      </c>
    </row>
    <row r="49" spans="2:6" x14ac:dyDescent="0.2">
      <c r="B49" s="39" t="str">
        <f>B21</f>
        <v>GABRIEL GUZMAN</v>
      </c>
    </row>
    <row r="50" spans="2:6" x14ac:dyDescent="0.2">
      <c r="B50" s="99"/>
      <c r="C50" s="99"/>
      <c r="E50" s="211" t="s">
        <v>135</v>
      </c>
      <c r="F50" s="212"/>
    </row>
    <row r="52" spans="2:6" x14ac:dyDescent="0.2">
      <c r="B52" s="39" t="s">
        <v>136</v>
      </c>
      <c r="C52" s="85">
        <f t="shared" ref="C52:C53" si="8">C24</f>
        <v>992503795</v>
      </c>
      <c r="D52" s="65" t="s">
        <v>137</v>
      </c>
      <c r="E52" s="213"/>
      <c r="F52" s="145"/>
    </row>
    <row r="53" spans="2:6" x14ac:dyDescent="0.2">
      <c r="C53" s="85">
        <f t="shared" si="8"/>
        <v>984994680</v>
      </c>
      <c r="D53" s="65"/>
    </row>
    <row r="54" spans="2:6" x14ac:dyDescent="0.2">
      <c r="D54" s="65" t="s">
        <v>138</v>
      </c>
      <c r="E54" s="213"/>
      <c r="F54" s="145"/>
    </row>
  </sheetData>
  <mergeCells count="20">
    <mergeCell ref="B1:F1"/>
    <mergeCell ref="B2:F2"/>
    <mergeCell ref="C3:F3"/>
    <mergeCell ref="C4:F4"/>
    <mergeCell ref="C5:F5"/>
    <mergeCell ref="B7:F7"/>
    <mergeCell ref="B17:F17"/>
    <mergeCell ref="C33:F33"/>
    <mergeCell ref="B35:F35"/>
    <mergeCell ref="B45:F45"/>
    <mergeCell ref="E50:F50"/>
    <mergeCell ref="E52:F52"/>
    <mergeCell ref="E54:F54"/>
    <mergeCell ref="E22:F22"/>
    <mergeCell ref="E24:F24"/>
    <mergeCell ref="E26:F26"/>
    <mergeCell ref="B29:F29"/>
    <mergeCell ref="B30:F30"/>
    <mergeCell ref="C31:F31"/>
    <mergeCell ref="C32:F32"/>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EF2CB"/>
    <outlinePr summaryBelow="0" summaryRight="0"/>
  </sheetPr>
  <dimension ref="A1:B1000"/>
  <sheetViews>
    <sheetView showGridLines="0" workbookViewId="0"/>
  </sheetViews>
  <sheetFormatPr baseColWidth="10" defaultColWidth="14.5" defaultRowHeight="15" customHeight="1" x14ac:dyDescent="0.2"/>
  <cols>
    <col min="1" max="1" width="20.6640625" customWidth="1"/>
    <col min="2" max="2" width="255.6640625" customWidth="1"/>
    <col min="3" max="6" width="10.6640625" customWidth="1"/>
    <col min="7" max="26" width="17.33203125" customWidth="1"/>
  </cols>
  <sheetData>
    <row r="1" spans="1:2" x14ac:dyDescent="0.2">
      <c r="A1" s="100" t="s">
        <v>139</v>
      </c>
      <c r="B1" s="101" t="s">
        <v>114</v>
      </c>
    </row>
    <row r="2" spans="1:2" x14ac:dyDescent="0.2">
      <c r="A2" s="102" t="s">
        <v>48</v>
      </c>
      <c r="B2" s="8" t="s">
        <v>140</v>
      </c>
    </row>
    <row r="3" spans="1:2" x14ac:dyDescent="0.2">
      <c r="A3" s="103" t="s">
        <v>141</v>
      </c>
      <c r="B3" s="104" t="s">
        <v>142</v>
      </c>
    </row>
    <row r="4" spans="1:2" x14ac:dyDescent="0.2">
      <c r="A4" s="103" t="s">
        <v>143</v>
      </c>
      <c r="B4" s="8" t="s">
        <v>144</v>
      </c>
    </row>
    <row r="5" spans="1:2" x14ac:dyDescent="0.2">
      <c r="A5" s="103" t="s">
        <v>145</v>
      </c>
      <c r="B5" s="8" t="s">
        <v>146</v>
      </c>
    </row>
    <row r="6" spans="1:2" x14ac:dyDescent="0.2">
      <c r="A6" s="103" t="s">
        <v>147</v>
      </c>
      <c r="B6" s="8" t="s">
        <v>148</v>
      </c>
    </row>
    <row r="7" spans="1:2" x14ac:dyDescent="0.2">
      <c r="A7" s="103" t="s">
        <v>149</v>
      </c>
      <c r="B7" s="105" t="s">
        <v>150</v>
      </c>
    </row>
    <row r="8" spans="1:2" x14ac:dyDescent="0.2">
      <c r="A8" s="106" t="s">
        <v>151</v>
      </c>
      <c r="B8" s="8" t="s">
        <v>142</v>
      </c>
    </row>
    <row r="9" spans="1:2" x14ac:dyDescent="0.2">
      <c r="A9" s="106" t="s">
        <v>152</v>
      </c>
      <c r="B9" s="8" t="s">
        <v>144</v>
      </c>
    </row>
    <row r="10" spans="1:2" x14ac:dyDescent="0.2">
      <c r="A10" s="106" t="s">
        <v>153</v>
      </c>
      <c r="B10" s="8" t="s">
        <v>146</v>
      </c>
    </row>
    <row r="11" spans="1:2" x14ac:dyDescent="0.2">
      <c r="A11" s="106" t="s">
        <v>154</v>
      </c>
      <c r="B11" s="8" t="s">
        <v>148</v>
      </c>
    </row>
    <row r="12" spans="1:2" x14ac:dyDescent="0.2">
      <c r="A12" s="106" t="s">
        <v>155</v>
      </c>
      <c r="B12" s="105" t="s">
        <v>150</v>
      </c>
    </row>
    <row r="13" spans="1:2" x14ac:dyDescent="0.2">
      <c r="A13" s="107" t="s">
        <v>156</v>
      </c>
      <c r="B13" s="108" t="s">
        <v>157</v>
      </c>
    </row>
    <row r="14" spans="1:2" x14ac:dyDescent="0.2">
      <c r="A14" s="107" t="s">
        <v>158</v>
      </c>
      <c r="B14" s="8" t="s">
        <v>159</v>
      </c>
    </row>
    <row r="15" spans="1:2" x14ac:dyDescent="0.2">
      <c r="A15" s="107" t="s">
        <v>160</v>
      </c>
      <c r="B15" s="8" t="s">
        <v>161</v>
      </c>
    </row>
    <row r="16" spans="1:2" x14ac:dyDescent="0.2">
      <c r="A16" s="107" t="s">
        <v>162</v>
      </c>
      <c r="B16" s="8" t="s">
        <v>163</v>
      </c>
    </row>
    <row r="17" spans="1:2" x14ac:dyDescent="0.2">
      <c r="A17" s="107" t="s">
        <v>164</v>
      </c>
      <c r="B17" s="8" t="s">
        <v>165</v>
      </c>
    </row>
    <row r="18" spans="1:2" x14ac:dyDescent="0.2">
      <c r="A18" s="8"/>
      <c r="B18" s="109"/>
    </row>
    <row r="19" spans="1:2" x14ac:dyDescent="0.2">
      <c r="A19" s="110" t="s">
        <v>139</v>
      </c>
      <c r="B19" s="101" t="s">
        <v>114</v>
      </c>
    </row>
    <row r="20" spans="1:2" x14ac:dyDescent="0.2">
      <c r="A20" s="111">
        <v>3</v>
      </c>
      <c r="B20" s="218" t="s">
        <v>166</v>
      </c>
    </row>
    <row r="21" spans="1:2" ht="15.75" customHeight="1" x14ac:dyDescent="0.2">
      <c r="A21" s="111">
        <v>6</v>
      </c>
      <c r="B21" s="219"/>
    </row>
    <row r="22" spans="1:2" ht="15.75" customHeight="1" x14ac:dyDescent="0.2">
      <c r="A22" s="111">
        <v>9</v>
      </c>
      <c r="B22" s="219"/>
    </row>
    <row r="23" spans="1:2" ht="15.75" customHeight="1" x14ac:dyDescent="0.2">
      <c r="A23" s="111">
        <v>12</v>
      </c>
      <c r="B23" s="219"/>
    </row>
    <row r="24" spans="1:2" ht="15.75" customHeight="1" x14ac:dyDescent="0.2">
      <c r="A24" s="111">
        <v>15</v>
      </c>
      <c r="B24" s="219"/>
    </row>
    <row r="25" spans="1:2" ht="15.75" customHeight="1" x14ac:dyDescent="0.2">
      <c r="A25" s="111">
        <v>18</v>
      </c>
      <c r="B25" s="219"/>
    </row>
    <row r="26" spans="1:2" ht="15.75" customHeight="1" x14ac:dyDescent="0.2">
      <c r="A26" s="111">
        <v>24</v>
      </c>
      <c r="B26" s="219"/>
    </row>
    <row r="27" spans="1:2" ht="15.75" customHeight="1" x14ac:dyDescent="0.2">
      <c r="A27" s="112" t="s">
        <v>167</v>
      </c>
      <c r="B27" s="220"/>
    </row>
    <row r="28" spans="1:2" ht="15.75" customHeight="1" x14ac:dyDescent="0.2">
      <c r="A28" s="8"/>
      <c r="B28" s="113"/>
    </row>
    <row r="29" spans="1:2" ht="15.75" customHeight="1" x14ac:dyDescent="0.2">
      <c r="A29" s="8"/>
      <c r="B29" s="8"/>
    </row>
    <row r="30" spans="1:2" ht="15.75" customHeight="1" x14ac:dyDescent="0.2">
      <c r="A30" s="8"/>
      <c r="B30" s="8"/>
    </row>
    <row r="31" spans="1:2" ht="15.75" customHeight="1" x14ac:dyDescent="0.2">
      <c r="A31" s="8"/>
      <c r="B31" s="8"/>
    </row>
    <row r="32" spans="1:2" ht="15.75" customHeight="1" x14ac:dyDescent="0.2">
      <c r="A32" s="8"/>
      <c r="B32" s="8"/>
    </row>
    <row r="33" spans="1:2" ht="15.75" customHeight="1" x14ac:dyDescent="0.2">
      <c r="A33" s="8"/>
      <c r="B33" s="8"/>
    </row>
    <row r="34" spans="1:2" ht="15.75" customHeight="1" x14ac:dyDescent="0.2">
      <c r="A34" s="8"/>
      <c r="B34" s="8"/>
    </row>
    <row r="35" spans="1:2" ht="15.75" customHeight="1" x14ac:dyDescent="0.2">
      <c r="A35" s="8"/>
      <c r="B35" s="8"/>
    </row>
    <row r="36" spans="1:2" ht="15.75" customHeight="1" x14ac:dyDescent="0.2">
      <c r="A36" s="8"/>
      <c r="B36" s="8"/>
    </row>
    <row r="37" spans="1:2" ht="15.75" customHeight="1" x14ac:dyDescent="0.2">
      <c r="A37" s="8"/>
      <c r="B37" s="8"/>
    </row>
    <row r="38" spans="1:2" ht="15.75" customHeight="1" x14ac:dyDescent="0.2">
      <c r="A38" s="8"/>
      <c r="B38" s="8"/>
    </row>
    <row r="39" spans="1:2" ht="15.75" customHeight="1" x14ac:dyDescent="0.2">
      <c r="A39" s="8"/>
      <c r="B39" s="8"/>
    </row>
    <row r="40" spans="1:2" ht="15.75" customHeight="1" x14ac:dyDescent="0.2">
      <c r="A40" s="8"/>
      <c r="B40" s="8"/>
    </row>
    <row r="41" spans="1:2" ht="15.75" customHeight="1" x14ac:dyDescent="0.2">
      <c r="A41" s="8"/>
      <c r="B41" s="8"/>
    </row>
    <row r="42" spans="1:2" ht="15.75" customHeight="1" x14ac:dyDescent="0.2">
      <c r="A42" s="8"/>
      <c r="B42" s="8"/>
    </row>
    <row r="43" spans="1:2" ht="15.75" customHeight="1" x14ac:dyDescent="0.2">
      <c r="A43" s="8"/>
      <c r="B43" s="8"/>
    </row>
    <row r="44" spans="1:2" ht="15.75" customHeight="1" x14ac:dyDescent="0.2">
      <c r="A44" s="8"/>
      <c r="B44" s="8"/>
    </row>
    <row r="45" spans="1:2" ht="15.75" customHeight="1" x14ac:dyDescent="0.2">
      <c r="A45" s="8"/>
      <c r="B45" s="8"/>
    </row>
    <row r="46" spans="1:2" ht="15.75" customHeight="1" x14ac:dyDescent="0.2">
      <c r="A46" s="8"/>
      <c r="B46" s="8"/>
    </row>
    <row r="47" spans="1:2" ht="15.75" customHeight="1" x14ac:dyDescent="0.2">
      <c r="A47" s="8"/>
      <c r="B47" s="8"/>
    </row>
    <row r="48" spans="1:2" ht="15.75" customHeight="1" x14ac:dyDescent="0.2">
      <c r="A48" s="8"/>
      <c r="B48" s="8"/>
    </row>
    <row r="49" spans="1:2" ht="15.75" customHeight="1" x14ac:dyDescent="0.2">
      <c r="A49" s="8"/>
      <c r="B49" s="8"/>
    </row>
    <row r="50" spans="1:2" ht="15.75" customHeight="1" x14ac:dyDescent="0.2">
      <c r="A50" s="8"/>
      <c r="B50" s="8"/>
    </row>
    <row r="51" spans="1:2" ht="15.75" customHeight="1" x14ac:dyDescent="0.2">
      <c r="A51" s="8"/>
      <c r="B51" s="8"/>
    </row>
    <row r="52" spans="1:2" ht="15.75" customHeight="1" x14ac:dyDescent="0.2">
      <c r="A52" s="8"/>
      <c r="B52" s="8"/>
    </row>
    <row r="53" spans="1:2" ht="15.75" customHeight="1" x14ac:dyDescent="0.2">
      <c r="A53" s="8"/>
      <c r="B53" s="8"/>
    </row>
    <row r="54" spans="1:2" ht="15.75" customHeight="1" x14ac:dyDescent="0.2">
      <c r="A54" s="8"/>
      <c r="B54" s="8"/>
    </row>
    <row r="55" spans="1:2" ht="15.75" customHeight="1" x14ac:dyDescent="0.2">
      <c r="A55" s="8"/>
      <c r="B55" s="8"/>
    </row>
    <row r="56" spans="1:2" ht="15.75" customHeight="1" x14ac:dyDescent="0.2">
      <c r="A56" s="8"/>
      <c r="B56" s="8"/>
    </row>
    <row r="57" spans="1:2" ht="15.75" customHeight="1" x14ac:dyDescent="0.2">
      <c r="A57" s="8"/>
      <c r="B57" s="8"/>
    </row>
    <row r="58" spans="1:2" ht="15.75" customHeight="1" x14ac:dyDescent="0.2">
      <c r="A58" s="8"/>
      <c r="B58" s="8"/>
    </row>
    <row r="59" spans="1:2" ht="15.75" customHeight="1" x14ac:dyDescent="0.2">
      <c r="A59" s="8"/>
      <c r="B59" s="8"/>
    </row>
    <row r="60" spans="1:2" ht="15.75" customHeight="1" x14ac:dyDescent="0.2">
      <c r="A60" s="8"/>
      <c r="B60" s="8"/>
    </row>
    <row r="61" spans="1:2" ht="15.75" customHeight="1" x14ac:dyDescent="0.2">
      <c r="A61" s="8"/>
      <c r="B61" s="8"/>
    </row>
    <row r="62" spans="1:2" ht="15.75" customHeight="1" x14ac:dyDescent="0.2">
      <c r="A62" s="8"/>
      <c r="B62" s="8"/>
    </row>
    <row r="63" spans="1:2" ht="15.75" customHeight="1" x14ac:dyDescent="0.2">
      <c r="A63" s="8"/>
      <c r="B63" s="8"/>
    </row>
    <row r="64" spans="1:2" ht="15.75" customHeight="1" x14ac:dyDescent="0.2">
      <c r="A64" s="8"/>
      <c r="B64" s="8"/>
    </row>
    <row r="65" spans="1:2" ht="15.75" customHeight="1" x14ac:dyDescent="0.2">
      <c r="A65" s="8"/>
      <c r="B65" s="8"/>
    </row>
    <row r="66" spans="1:2" ht="15.75" customHeight="1" x14ac:dyDescent="0.2">
      <c r="A66" s="8"/>
      <c r="B66" s="8"/>
    </row>
    <row r="67" spans="1:2" ht="15.75" customHeight="1" x14ac:dyDescent="0.2">
      <c r="A67" s="8"/>
      <c r="B67" s="8"/>
    </row>
    <row r="68" spans="1:2" ht="15.75" customHeight="1" x14ac:dyDescent="0.2">
      <c r="A68" s="8"/>
      <c r="B68" s="8"/>
    </row>
    <row r="69" spans="1:2" ht="15.75" customHeight="1" x14ac:dyDescent="0.2">
      <c r="A69" s="8"/>
      <c r="B69" s="8"/>
    </row>
    <row r="70" spans="1:2" ht="15.75" customHeight="1" x14ac:dyDescent="0.2">
      <c r="A70" s="8"/>
      <c r="B70" s="8"/>
    </row>
    <row r="71" spans="1:2" ht="15.75" customHeight="1" x14ac:dyDescent="0.2">
      <c r="A71" s="8"/>
      <c r="B71" s="8"/>
    </row>
    <row r="72" spans="1:2" ht="15.75" customHeight="1" x14ac:dyDescent="0.2">
      <c r="A72" s="8"/>
      <c r="B72" s="8"/>
    </row>
    <row r="73" spans="1:2" ht="15.75" customHeight="1" x14ac:dyDescent="0.2">
      <c r="A73" s="8"/>
      <c r="B73" s="8"/>
    </row>
    <row r="74" spans="1:2" ht="15.75" customHeight="1" x14ac:dyDescent="0.2">
      <c r="A74" s="8"/>
      <c r="B74" s="8"/>
    </row>
    <row r="75" spans="1:2" ht="15.75" customHeight="1" x14ac:dyDescent="0.2">
      <c r="A75" s="8"/>
      <c r="B75" s="8"/>
    </row>
    <row r="76" spans="1:2" ht="15.75" customHeight="1" x14ac:dyDescent="0.2">
      <c r="A76" s="8"/>
      <c r="B76" s="8"/>
    </row>
    <row r="77" spans="1:2" ht="15.75" customHeight="1" x14ac:dyDescent="0.2">
      <c r="A77" s="8"/>
      <c r="B77" s="8"/>
    </row>
    <row r="78" spans="1:2" ht="15.75" customHeight="1" x14ac:dyDescent="0.2">
      <c r="A78" s="8"/>
      <c r="B78" s="8"/>
    </row>
    <row r="79" spans="1:2" ht="15.75" customHeight="1" x14ac:dyDescent="0.2">
      <c r="A79" s="8"/>
      <c r="B79" s="8"/>
    </row>
    <row r="80" spans="1:2" ht="15.75" customHeight="1" x14ac:dyDescent="0.2">
      <c r="A80" s="8"/>
      <c r="B80" s="8"/>
    </row>
    <row r="81" spans="1:2" ht="15.75" customHeight="1" x14ac:dyDescent="0.2">
      <c r="A81" s="8"/>
      <c r="B81" s="8"/>
    </row>
    <row r="82" spans="1:2" ht="15.75" customHeight="1" x14ac:dyDescent="0.2">
      <c r="A82" s="8"/>
      <c r="B82" s="8"/>
    </row>
    <row r="83" spans="1:2" ht="15.75" customHeight="1" x14ac:dyDescent="0.2">
      <c r="A83" s="8"/>
      <c r="B83" s="8"/>
    </row>
    <row r="84" spans="1:2" ht="15.75" customHeight="1" x14ac:dyDescent="0.2">
      <c r="A84" s="8"/>
      <c r="B84" s="8"/>
    </row>
    <row r="85" spans="1:2" ht="15.75" customHeight="1" x14ac:dyDescent="0.2">
      <c r="A85" s="8"/>
      <c r="B85" s="8"/>
    </row>
    <row r="86" spans="1:2" ht="15.75" customHeight="1" x14ac:dyDescent="0.2">
      <c r="A86" s="8"/>
      <c r="B86" s="8"/>
    </row>
    <row r="87" spans="1:2" ht="15.75" customHeight="1" x14ac:dyDescent="0.2">
      <c r="A87" s="8"/>
      <c r="B87" s="8"/>
    </row>
    <row r="88" spans="1:2" ht="15.75" customHeight="1" x14ac:dyDescent="0.2">
      <c r="A88" s="8"/>
      <c r="B88" s="8"/>
    </row>
    <row r="89" spans="1:2" ht="15.75" customHeight="1" x14ac:dyDescent="0.2">
      <c r="A89" s="8"/>
      <c r="B89" s="8"/>
    </row>
    <row r="90" spans="1:2" ht="15.75" customHeight="1" x14ac:dyDescent="0.2">
      <c r="A90" s="8"/>
      <c r="B90" s="8"/>
    </row>
    <row r="91" spans="1:2" ht="15.75" customHeight="1" x14ac:dyDescent="0.2">
      <c r="A91" s="8"/>
      <c r="B91" s="8"/>
    </row>
    <row r="92" spans="1:2" ht="15.75" customHeight="1" x14ac:dyDescent="0.2">
      <c r="A92" s="8"/>
      <c r="B92" s="8"/>
    </row>
    <row r="93" spans="1:2" ht="15.75" customHeight="1" x14ac:dyDescent="0.2">
      <c r="A93" s="8"/>
      <c r="B93" s="8"/>
    </row>
    <row r="94" spans="1:2" ht="15.75" customHeight="1" x14ac:dyDescent="0.2">
      <c r="A94" s="8"/>
      <c r="B94" s="8"/>
    </row>
    <row r="95" spans="1:2" ht="15.75" customHeight="1" x14ac:dyDescent="0.2">
      <c r="A95" s="8"/>
      <c r="B95" s="8"/>
    </row>
    <row r="96" spans="1:2" ht="15.75" customHeight="1" x14ac:dyDescent="0.2">
      <c r="A96" s="8"/>
      <c r="B96" s="8"/>
    </row>
    <row r="97" spans="1:2" ht="15.75" customHeight="1" x14ac:dyDescent="0.2">
      <c r="A97" s="8"/>
      <c r="B97" s="8"/>
    </row>
    <row r="98" spans="1:2" ht="15.75" customHeight="1" x14ac:dyDescent="0.2">
      <c r="A98" s="8"/>
      <c r="B98" s="8"/>
    </row>
    <row r="99" spans="1:2" ht="15.75" customHeight="1" x14ac:dyDescent="0.2">
      <c r="A99" s="8"/>
      <c r="B99" s="8"/>
    </row>
    <row r="100" spans="1:2" ht="15.75" customHeight="1" x14ac:dyDescent="0.2">
      <c r="A100" s="8"/>
      <c r="B100" s="8"/>
    </row>
    <row r="101" spans="1:2" ht="15.75" customHeight="1" x14ac:dyDescent="0.2">
      <c r="A101" s="8"/>
      <c r="B101" s="8"/>
    </row>
    <row r="102" spans="1:2" ht="15.75" customHeight="1" x14ac:dyDescent="0.2">
      <c r="A102" s="8"/>
      <c r="B102" s="8"/>
    </row>
    <row r="103" spans="1:2" ht="15.75" customHeight="1" x14ac:dyDescent="0.2">
      <c r="A103" s="8"/>
      <c r="B103" s="8"/>
    </row>
    <row r="104" spans="1:2" ht="15.75" customHeight="1" x14ac:dyDescent="0.2">
      <c r="A104" s="8"/>
      <c r="B104" s="8"/>
    </row>
    <row r="105" spans="1:2" ht="15.75" customHeight="1" x14ac:dyDescent="0.2">
      <c r="A105" s="8"/>
      <c r="B105" s="8"/>
    </row>
    <row r="106" spans="1:2" ht="15.75" customHeight="1" x14ac:dyDescent="0.2">
      <c r="A106" s="8"/>
      <c r="B106" s="8"/>
    </row>
    <row r="107" spans="1:2" ht="15.75" customHeight="1" x14ac:dyDescent="0.2">
      <c r="A107" s="8"/>
      <c r="B107" s="8"/>
    </row>
    <row r="108" spans="1:2" ht="15.75" customHeight="1" x14ac:dyDescent="0.2">
      <c r="A108" s="8"/>
      <c r="B108" s="8"/>
    </row>
    <row r="109" spans="1:2" ht="15.75" customHeight="1" x14ac:dyDescent="0.2">
      <c r="A109" s="8"/>
      <c r="B109" s="8"/>
    </row>
    <row r="110" spans="1:2" ht="15.75" customHeight="1" x14ac:dyDescent="0.2">
      <c r="A110" s="8"/>
      <c r="B110" s="8"/>
    </row>
    <row r="111" spans="1:2" ht="15.75" customHeight="1" x14ac:dyDescent="0.2">
      <c r="A111" s="8"/>
      <c r="B111" s="8"/>
    </row>
    <row r="112" spans="1:2" ht="15.75" customHeight="1" x14ac:dyDescent="0.2">
      <c r="A112" s="8"/>
      <c r="B112" s="8"/>
    </row>
    <row r="113" spans="1:2" ht="15.75" customHeight="1" x14ac:dyDescent="0.2">
      <c r="A113" s="8"/>
      <c r="B113" s="8"/>
    </row>
    <row r="114" spans="1:2" ht="15.75" customHeight="1" x14ac:dyDescent="0.2">
      <c r="A114" s="8"/>
      <c r="B114" s="8"/>
    </row>
    <row r="115" spans="1:2" ht="15.75" customHeight="1" x14ac:dyDescent="0.2">
      <c r="A115" s="8"/>
      <c r="B115" s="8"/>
    </row>
    <row r="116" spans="1:2" ht="15.75" customHeight="1" x14ac:dyDescent="0.2">
      <c r="A116" s="8"/>
      <c r="B116" s="8"/>
    </row>
    <row r="117" spans="1:2" ht="15.75" customHeight="1" x14ac:dyDescent="0.2">
      <c r="A117" s="8"/>
      <c r="B117" s="8"/>
    </row>
    <row r="118" spans="1:2" ht="15.75" customHeight="1" x14ac:dyDescent="0.2">
      <c r="A118" s="8"/>
      <c r="B118" s="8"/>
    </row>
    <row r="119" spans="1:2" ht="15.75" customHeight="1" x14ac:dyDescent="0.2">
      <c r="A119" s="8"/>
      <c r="B119" s="8"/>
    </row>
    <row r="120" spans="1:2" ht="15.75" customHeight="1" x14ac:dyDescent="0.2">
      <c r="A120" s="8"/>
      <c r="B120" s="8"/>
    </row>
    <row r="121" spans="1:2" ht="15.75" customHeight="1" x14ac:dyDescent="0.2">
      <c r="A121" s="8"/>
      <c r="B121" s="8"/>
    </row>
    <row r="122" spans="1:2" ht="15.75" customHeight="1" x14ac:dyDescent="0.2">
      <c r="A122" s="8"/>
      <c r="B122" s="8"/>
    </row>
    <row r="123" spans="1:2" ht="15.75" customHeight="1" x14ac:dyDescent="0.2">
      <c r="A123" s="8"/>
      <c r="B123" s="8"/>
    </row>
    <row r="124" spans="1:2" ht="15.75" customHeight="1" x14ac:dyDescent="0.2">
      <c r="A124" s="8"/>
      <c r="B124" s="8"/>
    </row>
    <row r="125" spans="1:2" ht="15.75" customHeight="1" x14ac:dyDescent="0.2">
      <c r="A125" s="8"/>
      <c r="B125" s="8"/>
    </row>
    <row r="126" spans="1:2" ht="15.75" customHeight="1" x14ac:dyDescent="0.2">
      <c r="A126" s="8"/>
      <c r="B126" s="8"/>
    </row>
    <row r="127" spans="1:2" ht="15.75" customHeight="1" x14ac:dyDescent="0.2">
      <c r="A127" s="8"/>
      <c r="B127" s="8"/>
    </row>
    <row r="128" spans="1:2" ht="15.75" customHeight="1" x14ac:dyDescent="0.2">
      <c r="A128" s="8"/>
      <c r="B128" s="8"/>
    </row>
    <row r="129" spans="1:2" ht="15.75" customHeight="1" x14ac:dyDescent="0.2">
      <c r="A129" s="8"/>
      <c r="B129" s="8"/>
    </row>
    <row r="130" spans="1:2" ht="15.75" customHeight="1" x14ac:dyDescent="0.2">
      <c r="A130" s="8"/>
      <c r="B130" s="8"/>
    </row>
    <row r="131" spans="1:2" ht="15.75" customHeight="1" x14ac:dyDescent="0.2">
      <c r="A131" s="8"/>
      <c r="B131" s="8"/>
    </row>
    <row r="132" spans="1:2" ht="15.75" customHeight="1" x14ac:dyDescent="0.2">
      <c r="A132" s="8"/>
      <c r="B132" s="8"/>
    </row>
    <row r="133" spans="1:2" ht="15.75" customHeight="1" x14ac:dyDescent="0.2">
      <c r="A133" s="8"/>
      <c r="B133" s="8"/>
    </row>
    <row r="134" spans="1:2" ht="15.75" customHeight="1" x14ac:dyDescent="0.2">
      <c r="A134" s="8"/>
      <c r="B134" s="8"/>
    </row>
    <row r="135" spans="1:2" ht="15.75" customHeight="1" x14ac:dyDescent="0.2">
      <c r="A135" s="8"/>
      <c r="B135" s="8"/>
    </row>
    <row r="136" spans="1:2" ht="15.75" customHeight="1" x14ac:dyDescent="0.2">
      <c r="A136" s="8"/>
      <c r="B136" s="8"/>
    </row>
    <row r="137" spans="1:2" ht="15.75" customHeight="1" x14ac:dyDescent="0.2">
      <c r="A137" s="8"/>
      <c r="B137" s="8"/>
    </row>
    <row r="138" spans="1:2" ht="15.75" customHeight="1" x14ac:dyDescent="0.2">
      <c r="A138" s="8"/>
      <c r="B138" s="8"/>
    </row>
    <row r="139" spans="1:2" ht="15.75" customHeight="1" x14ac:dyDescent="0.2">
      <c r="A139" s="8"/>
      <c r="B139" s="8"/>
    </row>
    <row r="140" spans="1:2" ht="15.75" customHeight="1" x14ac:dyDescent="0.2">
      <c r="A140" s="8"/>
      <c r="B140" s="8"/>
    </row>
    <row r="141" spans="1:2" ht="15.75" customHeight="1" x14ac:dyDescent="0.2">
      <c r="A141" s="8"/>
      <c r="B141" s="8"/>
    </row>
    <row r="142" spans="1:2" ht="15.75" customHeight="1" x14ac:dyDescent="0.2">
      <c r="A142" s="8"/>
      <c r="B142" s="8"/>
    </row>
    <row r="143" spans="1:2" ht="15.75" customHeight="1" x14ac:dyDescent="0.2">
      <c r="A143" s="8"/>
      <c r="B143" s="8"/>
    </row>
    <row r="144" spans="1:2" ht="15.75" customHeight="1" x14ac:dyDescent="0.2">
      <c r="A144" s="8"/>
      <c r="B144" s="8"/>
    </row>
    <row r="145" spans="1:2" ht="15.75" customHeight="1" x14ac:dyDescent="0.2">
      <c r="A145" s="8"/>
      <c r="B145" s="8"/>
    </row>
    <row r="146" spans="1:2" ht="15.75" customHeight="1" x14ac:dyDescent="0.2">
      <c r="A146" s="8"/>
      <c r="B146" s="8"/>
    </row>
    <row r="147" spans="1:2" ht="15.75" customHeight="1" x14ac:dyDescent="0.2">
      <c r="A147" s="8"/>
      <c r="B147" s="8"/>
    </row>
    <row r="148" spans="1:2" ht="15.75" customHeight="1" x14ac:dyDescent="0.2">
      <c r="A148" s="8"/>
      <c r="B148" s="8"/>
    </row>
    <row r="149" spans="1:2" ht="15.75" customHeight="1" x14ac:dyDescent="0.2">
      <c r="A149" s="8"/>
      <c r="B149" s="8"/>
    </row>
    <row r="150" spans="1:2" ht="15.75" customHeight="1" x14ac:dyDescent="0.2">
      <c r="A150" s="8"/>
      <c r="B150" s="8"/>
    </row>
    <row r="151" spans="1:2" ht="15.75" customHeight="1" x14ac:dyDescent="0.2">
      <c r="A151" s="8"/>
      <c r="B151" s="8"/>
    </row>
    <row r="152" spans="1:2" ht="15.75" customHeight="1" x14ac:dyDescent="0.2">
      <c r="A152" s="8"/>
      <c r="B152" s="8"/>
    </row>
    <row r="153" spans="1:2" ht="15.75" customHeight="1" x14ac:dyDescent="0.2">
      <c r="A153" s="8"/>
      <c r="B153" s="8"/>
    </row>
    <row r="154" spans="1:2" ht="15.75" customHeight="1" x14ac:dyDescent="0.2">
      <c r="A154" s="8"/>
      <c r="B154" s="8"/>
    </row>
    <row r="155" spans="1:2" ht="15.75" customHeight="1" x14ac:dyDescent="0.2">
      <c r="A155" s="8"/>
      <c r="B155" s="8"/>
    </row>
    <row r="156" spans="1:2" ht="15.75" customHeight="1" x14ac:dyDescent="0.2">
      <c r="A156" s="8"/>
      <c r="B156" s="8"/>
    </row>
    <row r="157" spans="1:2" ht="15.75" customHeight="1" x14ac:dyDescent="0.2">
      <c r="A157" s="8"/>
      <c r="B157" s="8"/>
    </row>
    <row r="158" spans="1:2" ht="15.75" customHeight="1" x14ac:dyDescent="0.2">
      <c r="A158" s="8"/>
      <c r="B158" s="8"/>
    </row>
    <row r="159" spans="1:2" ht="15.75" customHeight="1" x14ac:dyDescent="0.2">
      <c r="A159" s="8"/>
      <c r="B159" s="8"/>
    </row>
    <row r="160" spans="1:2" ht="15.75" customHeight="1" x14ac:dyDescent="0.2">
      <c r="A160" s="8"/>
      <c r="B160" s="8"/>
    </row>
    <row r="161" spans="1:2" ht="15.75" customHeight="1" x14ac:dyDescent="0.2">
      <c r="A161" s="8"/>
      <c r="B161" s="8"/>
    </row>
    <row r="162" spans="1:2" ht="15.75" customHeight="1" x14ac:dyDescent="0.2">
      <c r="A162" s="8"/>
      <c r="B162" s="8"/>
    </row>
    <row r="163" spans="1:2" ht="15.75" customHeight="1" x14ac:dyDescent="0.2">
      <c r="A163" s="8"/>
      <c r="B163" s="8"/>
    </row>
    <row r="164" spans="1:2" ht="15.75" customHeight="1" x14ac:dyDescent="0.2">
      <c r="A164" s="8"/>
      <c r="B164" s="8"/>
    </row>
    <row r="165" spans="1:2" ht="15.75" customHeight="1" x14ac:dyDescent="0.2">
      <c r="A165" s="8"/>
      <c r="B165" s="8"/>
    </row>
    <row r="166" spans="1:2" ht="15.75" customHeight="1" x14ac:dyDescent="0.2">
      <c r="A166" s="8"/>
      <c r="B166" s="8"/>
    </row>
    <row r="167" spans="1:2" ht="15.75" customHeight="1" x14ac:dyDescent="0.2">
      <c r="A167" s="8"/>
      <c r="B167" s="8"/>
    </row>
    <row r="168" spans="1:2" ht="15.75" customHeight="1" x14ac:dyDescent="0.2">
      <c r="A168" s="8"/>
      <c r="B168" s="8"/>
    </row>
    <row r="169" spans="1:2" ht="15.75" customHeight="1" x14ac:dyDescent="0.2">
      <c r="A169" s="8"/>
      <c r="B169" s="8"/>
    </row>
    <row r="170" spans="1:2" ht="15.75" customHeight="1" x14ac:dyDescent="0.2">
      <c r="A170" s="8"/>
      <c r="B170" s="8"/>
    </row>
    <row r="171" spans="1:2" ht="15.75" customHeight="1" x14ac:dyDescent="0.2">
      <c r="A171" s="8"/>
      <c r="B171" s="8"/>
    </row>
    <row r="172" spans="1:2" ht="15.75" customHeight="1" x14ac:dyDescent="0.2">
      <c r="A172" s="8"/>
      <c r="B172" s="8"/>
    </row>
    <row r="173" spans="1:2" ht="15.75" customHeight="1" x14ac:dyDescent="0.2">
      <c r="A173" s="8"/>
      <c r="B173" s="8"/>
    </row>
    <row r="174" spans="1:2" ht="15.75" customHeight="1" x14ac:dyDescent="0.2">
      <c r="A174" s="8"/>
      <c r="B174" s="8"/>
    </row>
    <row r="175" spans="1:2" ht="15.75" customHeight="1" x14ac:dyDescent="0.2">
      <c r="A175" s="8"/>
      <c r="B175" s="8"/>
    </row>
    <row r="176" spans="1:2" ht="15.75" customHeight="1" x14ac:dyDescent="0.2">
      <c r="A176" s="8"/>
      <c r="B176" s="8"/>
    </row>
    <row r="177" spans="1:2" ht="15.75" customHeight="1" x14ac:dyDescent="0.2">
      <c r="A177" s="8"/>
      <c r="B177" s="8"/>
    </row>
    <row r="178" spans="1:2" ht="15.75" customHeight="1" x14ac:dyDescent="0.2">
      <c r="A178" s="8"/>
      <c r="B178" s="8"/>
    </row>
    <row r="179" spans="1:2" ht="15.75" customHeight="1" x14ac:dyDescent="0.2">
      <c r="A179" s="8"/>
      <c r="B179" s="8"/>
    </row>
    <row r="180" spans="1:2" ht="15.75" customHeight="1" x14ac:dyDescent="0.2">
      <c r="A180" s="8"/>
      <c r="B180" s="8"/>
    </row>
    <row r="181" spans="1:2" ht="15.75" customHeight="1" x14ac:dyDescent="0.2">
      <c r="A181" s="8"/>
      <c r="B181" s="8"/>
    </row>
    <row r="182" spans="1:2" ht="15.75" customHeight="1" x14ac:dyDescent="0.2">
      <c r="A182" s="8"/>
      <c r="B182" s="8"/>
    </row>
    <row r="183" spans="1:2" ht="15.75" customHeight="1" x14ac:dyDescent="0.2">
      <c r="A183" s="8"/>
      <c r="B183" s="8"/>
    </row>
    <row r="184" spans="1:2" ht="15.75" customHeight="1" x14ac:dyDescent="0.2">
      <c r="A184" s="8"/>
      <c r="B184" s="8"/>
    </row>
    <row r="185" spans="1:2" ht="15.75" customHeight="1" x14ac:dyDescent="0.2">
      <c r="A185" s="8"/>
      <c r="B185" s="8"/>
    </row>
    <row r="186" spans="1:2" ht="15.75" customHeight="1" x14ac:dyDescent="0.2">
      <c r="A186" s="8"/>
      <c r="B186" s="8"/>
    </row>
    <row r="187" spans="1:2" ht="15.75" customHeight="1" x14ac:dyDescent="0.2">
      <c r="A187" s="8"/>
      <c r="B187" s="8"/>
    </row>
    <row r="188" spans="1:2" ht="15.75" customHeight="1" x14ac:dyDescent="0.2">
      <c r="A188" s="8"/>
      <c r="B188" s="8"/>
    </row>
    <row r="189" spans="1:2" ht="15.75" customHeight="1" x14ac:dyDescent="0.2">
      <c r="A189" s="8"/>
      <c r="B189" s="8"/>
    </row>
    <row r="190" spans="1:2" ht="15.75" customHeight="1" x14ac:dyDescent="0.2">
      <c r="A190" s="8"/>
      <c r="B190" s="8"/>
    </row>
    <row r="191" spans="1:2" ht="15.75" customHeight="1" x14ac:dyDescent="0.2">
      <c r="A191" s="8"/>
      <c r="B191" s="8"/>
    </row>
    <row r="192" spans="1:2" ht="15.75" customHeight="1" x14ac:dyDescent="0.2">
      <c r="A192" s="8"/>
      <c r="B192" s="8"/>
    </row>
    <row r="193" spans="1:2" ht="15.75" customHeight="1" x14ac:dyDescent="0.2">
      <c r="A193" s="8"/>
      <c r="B193" s="8"/>
    </row>
    <row r="194" spans="1:2" ht="15.75" customHeight="1" x14ac:dyDescent="0.2">
      <c r="A194" s="8"/>
      <c r="B194" s="8"/>
    </row>
    <row r="195" spans="1:2" ht="15.75" customHeight="1" x14ac:dyDescent="0.2">
      <c r="A195" s="8"/>
      <c r="B195" s="8"/>
    </row>
    <row r="196" spans="1:2" ht="15.75" customHeight="1" x14ac:dyDescent="0.2">
      <c r="A196" s="8"/>
      <c r="B196" s="8"/>
    </row>
    <row r="197" spans="1:2" ht="15.75" customHeight="1" x14ac:dyDescent="0.2">
      <c r="A197" s="8"/>
      <c r="B197" s="8"/>
    </row>
    <row r="198" spans="1:2" ht="15.75" customHeight="1" x14ac:dyDescent="0.2">
      <c r="A198" s="8"/>
      <c r="B198" s="8"/>
    </row>
    <row r="199" spans="1:2" ht="15.75" customHeight="1" x14ac:dyDescent="0.2">
      <c r="A199" s="8"/>
      <c r="B199" s="8"/>
    </row>
    <row r="200" spans="1:2" ht="15.75" customHeight="1" x14ac:dyDescent="0.2">
      <c r="A200" s="8"/>
      <c r="B200" s="8"/>
    </row>
    <row r="201" spans="1:2" ht="15.75" customHeight="1" x14ac:dyDescent="0.2">
      <c r="A201" s="8"/>
      <c r="B201" s="8"/>
    </row>
    <row r="202" spans="1:2" ht="15.75" customHeight="1" x14ac:dyDescent="0.2">
      <c r="A202" s="8"/>
      <c r="B202" s="8"/>
    </row>
    <row r="203" spans="1:2" ht="15.75" customHeight="1" x14ac:dyDescent="0.2">
      <c r="A203" s="8"/>
      <c r="B203" s="8"/>
    </row>
    <row r="204" spans="1:2" ht="15.75" customHeight="1" x14ac:dyDescent="0.2">
      <c r="A204" s="8"/>
      <c r="B204" s="8"/>
    </row>
    <row r="205" spans="1:2" ht="15.75" customHeight="1" x14ac:dyDescent="0.2">
      <c r="A205" s="8"/>
      <c r="B205" s="8"/>
    </row>
    <row r="206" spans="1:2" ht="15.75" customHeight="1" x14ac:dyDescent="0.2">
      <c r="A206" s="8"/>
      <c r="B206" s="8"/>
    </row>
    <row r="207" spans="1:2" ht="15.75" customHeight="1" x14ac:dyDescent="0.2">
      <c r="A207" s="8"/>
      <c r="B207" s="8"/>
    </row>
    <row r="208" spans="1:2" ht="15.75" customHeight="1" x14ac:dyDescent="0.2">
      <c r="A208" s="8"/>
      <c r="B208" s="8"/>
    </row>
    <row r="209" spans="1:2" ht="15.75" customHeight="1" x14ac:dyDescent="0.2">
      <c r="A209" s="8"/>
      <c r="B209" s="8"/>
    </row>
    <row r="210" spans="1:2" ht="15.75" customHeight="1" x14ac:dyDescent="0.2">
      <c r="A210" s="8"/>
      <c r="B210" s="8"/>
    </row>
    <row r="211" spans="1:2" ht="15.75" customHeight="1" x14ac:dyDescent="0.2">
      <c r="A211" s="8"/>
      <c r="B211" s="8"/>
    </row>
    <row r="212" spans="1:2" ht="15.75" customHeight="1" x14ac:dyDescent="0.2">
      <c r="A212" s="8"/>
      <c r="B212" s="8"/>
    </row>
    <row r="213" spans="1:2" ht="15.75" customHeight="1" x14ac:dyDescent="0.2">
      <c r="A213" s="8"/>
      <c r="B213" s="8"/>
    </row>
    <row r="214" spans="1:2" ht="15.75" customHeight="1" x14ac:dyDescent="0.2">
      <c r="A214" s="8"/>
      <c r="B214" s="8"/>
    </row>
    <row r="215" spans="1:2" ht="15.75" customHeight="1" x14ac:dyDescent="0.2">
      <c r="A215" s="8"/>
      <c r="B215" s="8"/>
    </row>
    <row r="216" spans="1:2" ht="15.75" customHeight="1" x14ac:dyDescent="0.2">
      <c r="A216" s="8"/>
      <c r="B216" s="8"/>
    </row>
    <row r="217" spans="1:2" ht="15.75" customHeight="1" x14ac:dyDescent="0.2">
      <c r="A217" s="8"/>
      <c r="B217" s="8"/>
    </row>
    <row r="218" spans="1:2" ht="15.75" customHeight="1" x14ac:dyDescent="0.2">
      <c r="A218" s="8"/>
      <c r="B218" s="8"/>
    </row>
    <row r="219" spans="1:2" ht="15.75" customHeight="1" x14ac:dyDescent="0.2">
      <c r="A219" s="8"/>
      <c r="B219" s="8"/>
    </row>
    <row r="220" spans="1:2" ht="15.75" customHeight="1" x14ac:dyDescent="0.2">
      <c r="A220" s="8"/>
      <c r="B220" s="8"/>
    </row>
    <row r="221" spans="1:2" ht="15.75" customHeight="1" x14ac:dyDescent="0.2">
      <c r="A221" s="8"/>
      <c r="B221" s="8"/>
    </row>
    <row r="222" spans="1:2" ht="15.75" customHeight="1" x14ac:dyDescent="0.2">
      <c r="A222" s="8"/>
      <c r="B222" s="8"/>
    </row>
    <row r="223" spans="1:2" ht="15.75" customHeight="1" x14ac:dyDescent="0.2">
      <c r="A223" s="8"/>
      <c r="B223" s="8"/>
    </row>
    <row r="224" spans="1:2" ht="15.75" customHeight="1" x14ac:dyDescent="0.2">
      <c r="A224" s="8"/>
      <c r="B224" s="8"/>
    </row>
    <row r="225" spans="1:2" ht="15.75" customHeight="1" x14ac:dyDescent="0.2">
      <c r="A225" s="8"/>
      <c r="B225" s="8"/>
    </row>
    <row r="226" spans="1:2" ht="15.75" customHeight="1" x14ac:dyDescent="0.2">
      <c r="A226" s="8"/>
      <c r="B226" s="8"/>
    </row>
    <row r="227" spans="1:2" ht="15.75" customHeight="1" x14ac:dyDescent="0.2">
      <c r="A227" s="8"/>
      <c r="B227" s="8"/>
    </row>
    <row r="228" spans="1:2" ht="15.75" customHeight="1" x14ac:dyDescent="0.2"/>
    <row r="229" spans="1:2" ht="15.75" customHeight="1" x14ac:dyDescent="0.2"/>
    <row r="230" spans="1:2" ht="15.75" customHeight="1" x14ac:dyDescent="0.2"/>
    <row r="231" spans="1:2" ht="15.75" customHeight="1" x14ac:dyDescent="0.2"/>
    <row r="232" spans="1:2" ht="15.75" customHeight="1" x14ac:dyDescent="0.2"/>
    <row r="233" spans="1:2" ht="15.75" customHeight="1" x14ac:dyDescent="0.2"/>
    <row r="234" spans="1:2" ht="15.75" customHeight="1" x14ac:dyDescent="0.2"/>
    <row r="235" spans="1:2" ht="15.75" customHeight="1" x14ac:dyDescent="0.2"/>
    <row r="236" spans="1:2" ht="15.75" customHeight="1" x14ac:dyDescent="0.2"/>
    <row r="237" spans="1:2" ht="15.75" customHeight="1" x14ac:dyDescent="0.2"/>
    <row r="238" spans="1:2" ht="15.75" customHeight="1" x14ac:dyDescent="0.2"/>
    <row r="239" spans="1:2" ht="15.75" customHeight="1" x14ac:dyDescent="0.2"/>
    <row r="240" spans="1: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20:B27"/>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Z1000"/>
  <sheetViews>
    <sheetView workbookViewId="0"/>
  </sheetViews>
  <sheetFormatPr baseColWidth="10" defaultColWidth="14.5" defaultRowHeight="15" customHeight="1" x14ac:dyDescent="0.2"/>
  <cols>
    <col min="1" max="1" width="7.5" customWidth="1"/>
    <col min="2" max="2" width="15.5" customWidth="1"/>
    <col min="3" max="3" width="17.33203125" customWidth="1"/>
    <col min="4" max="4" width="21.83203125" customWidth="1"/>
    <col min="5" max="5" width="10.83203125" customWidth="1"/>
    <col min="6" max="6" width="12.33203125" customWidth="1"/>
    <col min="7" max="7" width="7.1640625" customWidth="1"/>
    <col min="8" max="8" width="9.5" customWidth="1"/>
    <col min="9" max="9" width="7.83203125" customWidth="1"/>
    <col min="10" max="10" width="9.33203125" customWidth="1"/>
    <col min="11" max="26" width="17.33203125" customWidth="1"/>
  </cols>
  <sheetData>
    <row r="1" spans="1:10" x14ac:dyDescent="0.2">
      <c r="A1" s="114"/>
      <c r="B1" s="115"/>
      <c r="C1" s="115"/>
      <c r="D1" s="115"/>
      <c r="E1" s="115"/>
      <c r="F1" s="115"/>
      <c r="G1" s="115"/>
      <c r="H1" s="115"/>
      <c r="I1" s="115"/>
      <c r="J1" s="115"/>
    </row>
    <row r="2" spans="1:10" x14ac:dyDescent="0.2">
      <c r="A2" s="115"/>
      <c r="B2" s="115"/>
      <c r="C2" s="115"/>
      <c r="D2" s="115"/>
      <c r="E2" s="115"/>
      <c r="F2" s="115"/>
      <c r="G2" s="115"/>
      <c r="H2" s="115"/>
      <c r="I2" s="115"/>
      <c r="J2" s="115"/>
    </row>
    <row r="3" spans="1:10" ht="10.5" customHeight="1" x14ac:dyDescent="0.2">
      <c r="A3" s="115"/>
      <c r="B3" s="115"/>
      <c r="C3" s="115"/>
      <c r="D3" s="115"/>
      <c r="E3" s="115"/>
      <c r="F3" s="115"/>
      <c r="G3" s="115"/>
      <c r="H3" s="115"/>
      <c r="I3" s="115"/>
      <c r="J3" s="115"/>
    </row>
    <row r="4" spans="1:10" ht="1.5" customHeight="1" x14ac:dyDescent="0.2">
      <c r="A4" s="115"/>
      <c r="B4" s="115"/>
      <c r="C4" s="115"/>
      <c r="D4" s="115"/>
      <c r="E4" s="115"/>
      <c r="F4" s="115"/>
      <c r="G4" s="115"/>
      <c r="H4" s="115"/>
      <c r="I4" s="115"/>
      <c r="J4" s="115"/>
    </row>
    <row r="5" spans="1:10" ht="12.75" customHeight="1" x14ac:dyDescent="0.2">
      <c r="A5" s="221" t="s">
        <v>168</v>
      </c>
      <c r="B5" s="143"/>
      <c r="C5" s="116" t="s">
        <v>169</v>
      </c>
      <c r="D5" s="117"/>
      <c r="E5" s="117"/>
      <c r="F5" s="115"/>
      <c r="G5" s="115"/>
      <c r="H5" s="115"/>
      <c r="I5" s="115"/>
      <c r="J5" s="115"/>
    </row>
    <row r="6" spans="1:10" ht="12.75" customHeight="1" x14ac:dyDescent="0.2">
      <c r="A6" s="221" t="s">
        <v>170</v>
      </c>
      <c r="B6" s="143"/>
      <c r="C6" s="116">
        <v>30819</v>
      </c>
      <c r="D6" s="117"/>
      <c r="E6" s="117"/>
      <c r="F6" s="115"/>
      <c r="G6" s="115"/>
      <c r="H6" s="115"/>
      <c r="I6" s="115"/>
      <c r="J6" s="115"/>
    </row>
    <row r="7" spans="1:10" ht="6.75" customHeight="1" x14ac:dyDescent="0.2">
      <c r="A7" s="115"/>
      <c r="B7" s="115"/>
      <c r="C7" s="115"/>
      <c r="D7" s="115"/>
      <c r="E7" s="115"/>
      <c r="F7" s="115"/>
      <c r="G7" s="115"/>
      <c r="H7" s="115"/>
      <c r="I7" s="115"/>
      <c r="J7" s="115"/>
    </row>
    <row r="8" spans="1:10" ht="27.75" customHeight="1" x14ac:dyDescent="0.2">
      <c r="A8" s="224" t="s">
        <v>171</v>
      </c>
      <c r="B8" s="143"/>
      <c r="C8" s="143"/>
      <c r="D8" s="143"/>
      <c r="E8" s="143"/>
      <c r="F8" s="143"/>
      <c r="G8" s="143"/>
      <c r="H8" s="143"/>
      <c r="I8" s="143"/>
      <c r="J8" s="143"/>
    </row>
    <row r="9" spans="1:10" ht="12.75" customHeight="1" x14ac:dyDescent="0.2">
      <c r="A9" s="221" t="s">
        <v>172</v>
      </c>
      <c r="B9" s="143"/>
      <c r="C9" s="143"/>
      <c r="D9" s="143"/>
      <c r="E9" s="143"/>
      <c r="F9" s="143"/>
      <c r="G9" s="143"/>
      <c r="H9" s="143"/>
      <c r="I9" s="143"/>
      <c r="J9" s="143"/>
    </row>
    <row r="10" spans="1:10" ht="11.25" customHeight="1" x14ac:dyDescent="0.2">
      <c r="A10" s="221" t="s">
        <v>173</v>
      </c>
      <c r="B10" s="143"/>
      <c r="C10" s="143"/>
      <c r="D10" s="143"/>
      <c r="E10" s="143"/>
      <c r="F10" s="143"/>
      <c r="G10" s="143"/>
      <c r="H10" s="143"/>
      <c r="I10" s="143"/>
      <c r="J10" s="143"/>
    </row>
    <row r="11" spans="1:10" ht="12" customHeight="1" x14ac:dyDescent="0.2">
      <c r="A11" s="221" t="s">
        <v>174</v>
      </c>
      <c r="B11" s="143"/>
      <c r="C11" s="225" t="str">
        <f>INGRESO!B6</f>
        <v>Ismael Jahir Cruz Topanda</v>
      </c>
      <c r="D11" s="145"/>
      <c r="E11" s="145"/>
      <c r="F11" s="115" t="s">
        <v>175</v>
      </c>
      <c r="G11" s="225" t="str">
        <f>INGRESO!B7</f>
        <v>1725057648</v>
      </c>
      <c r="H11" s="145"/>
      <c r="I11" s="145"/>
      <c r="J11" s="145"/>
    </row>
    <row r="12" spans="1:10" ht="14.25" customHeight="1" x14ac:dyDescent="0.2">
      <c r="A12" s="221" t="s">
        <v>176</v>
      </c>
      <c r="B12" s="143"/>
      <c r="C12" s="118">
        <f>INGRESO!B5</f>
        <v>0</v>
      </c>
      <c r="D12" s="115"/>
      <c r="E12" s="115"/>
      <c r="F12" s="115"/>
      <c r="G12" s="115"/>
      <c r="H12" s="115"/>
      <c r="I12" s="115"/>
      <c r="J12" s="115"/>
    </row>
    <row r="13" spans="1:10" ht="12.75" customHeight="1" x14ac:dyDescent="0.2">
      <c r="A13" s="221" t="s">
        <v>177</v>
      </c>
      <c r="B13" s="143"/>
      <c r="C13" s="143"/>
      <c r="D13" s="143"/>
      <c r="E13" s="143"/>
      <c r="F13" s="143"/>
      <c r="G13" s="143"/>
      <c r="H13" s="143"/>
      <c r="I13" s="143"/>
      <c r="J13" s="143"/>
    </row>
    <row r="14" spans="1:10" ht="12" customHeight="1" x14ac:dyDescent="0.2">
      <c r="A14" s="221" t="s">
        <v>178</v>
      </c>
      <c r="B14" s="143"/>
      <c r="C14" s="143"/>
      <c r="D14" s="143"/>
      <c r="E14" s="143"/>
      <c r="F14" s="143"/>
      <c r="G14" s="115"/>
      <c r="H14" s="115"/>
      <c r="I14" s="115"/>
      <c r="J14" s="115"/>
    </row>
    <row r="15" spans="1:10" ht="11.25" customHeight="1" x14ac:dyDescent="0.2">
      <c r="A15" s="115"/>
      <c r="B15" s="115"/>
      <c r="C15" s="115"/>
      <c r="D15" s="115"/>
      <c r="E15" s="115"/>
      <c r="F15" s="115"/>
      <c r="G15" s="115"/>
      <c r="H15" s="115"/>
      <c r="I15" s="115"/>
      <c r="J15" s="115"/>
    </row>
    <row r="16" spans="1:10" ht="13.5" customHeight="1" x14ac:dyDescent="0.2">
      <c r="A16" s="221" t="s">
        <v>179</v>
      </c>
      <c r="B16" s="143"/>
      <c r="C16" s="143"/>
      <c r="D16" s="143"/>
      <c r="E16" s="143"/>
      <c r="F16" s="143"/>
      <c r="G16" s="143"/>
      <c r="H16" s="143"/>
      <c r="I16" s="143"/>
      <c r="J16" s="143"/>
    </row>
    <row r="17" spans="1:26" ht="12.75" customHeight="1" x14ac:dyDescent="0.2">
      <c r="A17" s="221" t="s">
        <v>180</v>
      </c>
      <c r="B17" s="143"/>
      <c r="C17" s="143"/>
      <c r="D17" s="143"/>
      <c r="E17" s="143"/>
      <c r="F17" s="143"/>
      <c r="G17" s="213"/>
      <c r="H17" s="145"/>
      <c r="I17" s="145"/>
      <c r="J17" s="115" t="s">
        <v>181</v>
      </c>
    </row>
    <row r="18" spans="1:26" ht="13.5" customHeight="1" x14ac:dyDescent="0.2">
      <c r="A18" s="213"/>
      <c r="B18" s="145"/>
      <c r="C18" s="221" t="s">
        <v>182</v>
      </c>
      <c r="D18" s="143"/>
      <c r="E18" s="115"/>
      <c r="F18" s="115"/>
      <c r="G18" s="115"/>
      <c r="H18" s="115"/>
      <c r="I18" s="115"/>
      <c r="J18" s="115"/>
    </row>
    <row r="19" spans="1:26" ht="11.25" customHeight="1" x14ac:dyDescent="0.2">
      <c r="A19" s="115"/>
      <c r="B19" s="115"/>
      <c r="C19" s="115"/>
      <c r="D19" s="115"/>
      <c r="E19" s="115"/>
      <c r="F19" s="115"/>
      <c r="G19" s="115"/>
      <c r="H19" s="115"/>
      <c r="I19" s="115"/>
      <c r="J19" s="115"/>
    </row>
    <row r="20" spans="1:26" ht="31.5" customHeight="1" x14ac:dyDescent="0.2">
      <c r="A20" s="119" t="s">
        <v>183</v>
      </c>
      <c r="B20" s="120" t="s">
        <v>184</v>
      </c>
      <c r="C20" s="120" t="s">
        <v>185</v>
      </c>
      <c r="D20" s="120" t="s">
        <v>186</v>
      </c>
      <c r="E20" s="120" t="s">
        <v>187</v>
      </c>
      <c r="F20" s="120" t="s">
        <v>188</v>
      </c>
      <c r="G20" s="226" t="s">
        <v>189</v>
      </c>
      <c r="H20" s="140"/>
      <c r="I20" s="226" t="s">
        <v>190</v>
      </c>
      <c r="J20" s="140"/>
      <c r="K20" s="78"/>
      <c r="L20" s="78"/>
      <c r="M20" s="78"/>
      <c r="N20" s="78"/>
      <c r="O20" s="78"/>
      <c r="P20" s="78"/>
      <c r="Q20" s="78"/>
      <c r="R20" s="78"/>
      <c r="S20" s="78"/>
      <c r="T20" s="78"/>
      <c r="U20" s="78"/>
      <c r="V20" s="78"/>
      <c r="W20" s="78"/>
      <c r="X20" s="78"/>
      <c r="Y20" s="78"/>
      <c r="Z20" s="78"/>
    </row>
    <row r="21" spans="1:26" ht="15.75" customHeight="1" x14ac:dyDescent="0.2">
      <c r="A21" s="121">
        <v>1</v>
      </c>
      <c r="B21" s="122" t="e">
        <f>INGRESO!#REF!</f>
        <v>#REF!</v>
      </c>
      <c r="C21" s="123" t="e">
        <v>#REF!</v>
      </c>
      <c r="D21" s="123" t="e">
        <f>#REF!</f>
        <v>#REF!</v>
      </c>
      <c r="E21" s="124" t="e">
        <v>#REF!</v>
      </c>
      <c r="F21" s="125" t="e">
        <v>#REF!</v>
      </c>
      <c r="G21" s="213"/>
      <c r="H21" s="146"/>
      <c r="I21" s="213" t="e">
        <f>INGRESO!#REF!</f>
        <v>#REF!</v>
      </c>
      <c r="J21" s="146"/>
    </row>
    <row r="22" spans="1:26" ht="15.75" customHeight="1" x14ac:dyDescent="0.2">
      <c r="A22" s="121">
        <v>2</v>
      </c>
      <c r="B22" s="122">
        <f>INGRESO!B44</f>
        <v>0</v>
      </c>
      <c r="C22" s="123" t="e">
        <v>#REF!</v>
      </c>
      <c r="D22" s="123" t="e">
        <f>INGRESO!#REF!</f>
        <v>#REF!</v>
      </c>
      <c r="E22" s="124" t="e">
        <v>#REF!</v>
      </c>
      <c r="F22" s="125" t="e">
        <v>#REF!</v>
      </c>
      <c r="G22" s="213"/>
      <c r="H22" s="146"/>
      <c r="I22" s="213">
        <f>INGRESO!I44</f>
        <v>0</v>
      </c>
      <c r="J22" s="146"/>
    </row>
    <row r="23" spans="1:26" ht="15.75" customHeight="1" x14ac:dyDescent="0.2">
      <c r="A23" s="121">
        <v>3</v>
      </c>
      <c r="B23" s="122" t="e">
        <f>INGRESO!#REF!</f>
        <v>#REF!</v>
      </c>
      <c r="C23" s="123" t="e">
        <v>#REF!</v>
      </c>
      <c r="D23" s="122" t="e">
        <f>INGRESO!#REF!</f>
        <v>#REF!</v>
      </c>
      <c r="E23" s="124" t="e">
        <v>#REF!</v>
      </c>
      <c r="F23" s="125" t="e">
        <v>#REF!</v>
      </c>
      <c r="G23" s="213"/>
      <c r="H23" s="146"/>
      <c r="I23" s="213" t="e">
        <f>INGRESO!#REF!</f>
        <v>#REF!</v>
      </c>
      <c r="J23" s="146"/>
    </row>
    <row r="24" spans="1:26" ht="15.75" customHeight="1" x14ac:dyDescent="0.2">
      <c r="A24" s="121">
        <v>4</v>
      </c>
      <c r="B24" s="122">
        <f>INGRESO!B45</f>
        <v>0</v>
      </c>
      <c r="C24" s="123" t="e">
        <v>#REF!</v>
      </c>
      <c r="D24" s="123">
        <f>INGRESO!E45</f>
        <v>0</v>
      </c>
      <c r="E24" s="124" t="e">
        <v>#REF!</v>
      </c>
      <c r="F24" s="125" t="e">
        <v>#REF!</v>
      </c>
      <c r="G24" s="213"/>
      <c r="H24" s="146"/>
      <c r="I24" s="213">
        <f>INGRESO!I45</f>
        <v>0</v>
      </c>
      <c r="J24" s="146"/>
    </row>
    <row r="25" spans="1:26" ht="15.75" customHeight="1" x14ac:dyDescent="0.2">
      <c r="A25" s="121">
        <v>5</v>
      </c>
      <c r="B25" s="122">
        <f>INGRESO!B46</f>
        <v>0</v>
      </c>
      <c r="C25" s="123" t="e">
        <v>#REF!</v>
      </c>
      <c r="D25" s="123">
        <f>INGRESO!E46</f>
        <v>0</v>
      </c>
      <c r="E25" s="124" t="e">
        <v>#REF!</v>
      </c>
      <c r="F25" s="125" t="e">
        <v>#REF!</v>
      </c>
      <c r="G25" s="213"/>
      <c r="H25" s="146"/>
      <c r="I25" s="213">
        <f>INGRESO!I46</f>
        <v>0</v>
      </c>
      <c r="J25" s="146"/>
    </row>
    <row r="26" spans="1:26" ht="15.75" customHeight="1" x14ac:dyDescent="0.2">
      <c r="A26" s="121">
        <v>6</v>
      </c>
      <c r="B26" s="122">
        <f>INGRESO!B47</f>
        <v>0</v>
      </c>
      <c r="C26" s="123" t="e">
        <v>#REF!</v>
      </c>
      <c r="D26" s="123">
        <f>INGRESO!E47</f>
        <v>0</v>
      </c>
      <c r="E26" s="124" t="e">
        <v>#REF!</v>
      </c>
      <c r="F26" s="125" t="e">
        <v>#REF!</v>
      </c>
      <c r="G26" s="213"/>
      <c r="H26" s="146"/>
      <c r="I26" s="213">
        <f>INGRESO!I47</f>
        <v>0</v>
      </c>
      <c r="J26" s="146"/>
    </row>
    <row r="27" spans="1:26" ht="15.75" customHeight="1" x14ac:dyDescent="0.2">
      <c r="A27" s="121">
        <v>7</v>
      </c>
      <c r="B27" s="122">
        <f>INGRESO!B48</f>
        <v>0</v>
      </c>
      <c r="C27" s="123" t="e">
        <v>#REF!</v>
      </c>
      <c r="D27" s="123">
        <f>INGRESO!E48</f>
        <v>0</v>
      </c>
      <c r="E27" s="124" t="e">
        <v>#REF!</v>
      </c>
      <c r="F27" s="125" t="e">
        <v>#REF!</v>
      </c>
      <c r="G27" s="213"/>
      <c r="H27" s="146"/>
      <c r="I27" s="213" t="str">
        <f>INGRESO!I48</f>
        <v/>
      </c>
      <c r="J27" s="146"/>
    </row>
    <row r="28" spans="1:26" ht="15.75" customHeight="1" x14ac:dyDescent="0.2">
      <c r="A28" s="121">
        <v>8</v>
      </c>
      <c r="B28" s="122">
        <f>INGRESO!B49</f>
        <v>0</v>
      </c>
      <c r="C28" s="123" t="e">
        <v>#REF!</v>
      </c>
      <c r="D28" s="123">
        <f>INGRESO!E49</f>
        <v>0</v>
      </c>
      <c r="E28" s="124" t="e">
        <v>#REF!</v>
      </c>
      <c r="F28" s="125" t="e">
        <v>#REF!</v>
      </c>
      <c r="G28" s="213"/>
      <c r="H28" s="146"/>
      <c r="I28" s="213" t="str">
        <f>INGRESO!I49</f>
        <v/>
      </c>
      <c r="J28" s="146"/>
    </row>
    <row r="29" spans="1:26" ht="15.75" customHeight="1" x14ac:dyDescent="0.2">
      <c r="A29" s="121">
        <v>9</v>
      </c>
      <c r="B29" s="122">
        <f>INGRESO!B58</f>
        <v>0</v>
      </c>
      <c r="C29" s="123" t="e">
        <v>#REF!</v>
      </c>
      <c r="D29" s="123">
        <f>INGRESO!E58</f>
        <v>0</v>
      </c>
      <c r="E29" s="124" t="e">
        <v>#REF!</v>
      </c>
      <c r="F29" s="125" t="e">
        <v>#REF!</v>
      </c>
      <c r="G29" s="213"/>
      <c r="H29" s="146"/>
      <c r="I29" s="213" t="str">
        <f>INGRESO!I58</f>
        <v/>
      </c>
      <c r="J29" s="146"/>
    </row>
    <row r="30" spans="1:26" ht="15.75" customHeight="1" x14ac:dyDescent="0.2">
      <c r="A30" s="121">
        <v>10</v>
      </c>
      <c r="B30" s="122">
        <f>INGRESO!B50</f>
        <v>0</v>
      </c>
      <c r="C30" s="123" t="e">
        <v>#REF!</v>
      </c>
      <c r="D30" s="123">
        <f>INGRESO!E50</f>
        <v>0</v>
      </c>
      <c r="E30" s="124" t="e">
        <v>#REF!</v>
      </c>
      <c r="F30" s="125" t="e">
        <v>#REF!</v>
      </c>
      <c r="G30" s="213"/>
      <c r="H30" s="146"/>
      <c r="I30" s="213" t="str">
        <f>INGRESO!I50</f>
        <v/>
      </c>
      <c r="J30" s="146"/>
    </row>
    <row r="31" spans="1:26" ht="15.75" customHeight="1" x14ac:dyDescent="0.2">
      <c r="A31" s="121">
        <v>11</v>
      </c>
      <c r="B31" s="122">
        <f>INGRESO!B51</f>
        <v>0</v>
      </c>
      <c r="C31" s="123" t="e">
        <v>#REF!</v>
      </c>
      <c r="D31" s="123">
        <f>INGRESO!E51</f>
        <v>0</v>
      </c>
      <c r="E31" s="124" t="e">
        <v>#REF!</v>
      </c>
      <c r="F31" s="125" t="e">
        <v>#REF!</v>
      </c>
      <c r="G31" s="213"/>
      <c r="H31" s="146"/>
      <c r="I31" s="213" t="str">
        <f>INGRESO!I51</f>
        <v/>
      </c>
      <c r="J31" s="146"/>
    </row>
    <row r="32" spans="1:26" ht="15.75" customHeight="1" x14ac:dyDescent="0.2">
      <c r="A32" s="121">
        <v>12</v>
      </c>
      <c r="B32" s="122">
        <f>INGRESO!B52</f>
        <v>0</v>
      </c>
      <c r="C32" s="123" t="e">
        <v>#REF!</v>
      </c>
      <c r="D32" s="123">
        <f>INGRESO!E52</f>
        <v>0</v>
      </c>
      <c r="E32" s="124" t="e">
        <v>#REF!</v>
      </c>
      <c r="F32" s="125" t="e">
        <v>#REF!</v>
      </c>
      <c r="G32" s="213"/>
      <c r="H32" s="146"/>
      <c r="I32" s="213" t="str">
        <f>INGRESO!I52</f>
        <v/>
      </c>
      <c r="J32" s="146"/>
    </row>
    <row r="33" spans="1:10" ht="15.75" customHeight="1" x14ac:dyDescent="0.2">
      <c r="A33" s="121">
        <v>13</v>
      </c>
      <c r="B33" s="122">
        <f>INGRESO!B53</f>
        <v>0</v>
      </c>
      <c r="C33" s="123" t="e">
        <v>#REF!</v>
      </c>
      <c r="D33" s="123">
        <f>INGRESO!E53</f>
        <v>0</v>
      </c>
      <c r="E33" s="124" t="e">
        <v>#REF!</v>
      </c>
      <c r="F33" s="125" t="e">
        <v>#REF!</v>
      </c>
      <c r="G33" s="213"/>
      <c r="H33" s="146"/>
      <c r="I33" s="213" t="str">
        <f>INGRESO!I53</f>
        <v/>
      </c>
      <c r="J33" s="146"/>
    </row>
    <row r="34" spans="1:10" ht="15.75" customHeight="1" x14ac:dyDescent="0.2">
      <c r="A34" s="121">
        <v>14</v>
      </c>
      <c r="B34" s="122">
        <f>INGRESO!B54</f>
        <v>0</v>
      </c>
      <c r="C34" s="123" t="e">
        <v>#REF!</v>
      </c>
      <c r="D34" s="123">
        <f>INGRESO!E54</f>
        <v>0</v>
      </c>
      <c r="E34" s="124" t="e">
        <v>#REF!</v>
      </c>
      <c r="F34" s="125" t="e">
        <v>#REF!</v>
      </c>
      <c r="G34" s="213"/>
      <c r="H34" s="146"/>
      <c r="I34" s="213" t="str">
        <f>INGRESO!I54</f>
        <v/>
      </c>
      <c r="J34" s="146"/>
    </row>
    <row r="35" spans="1:10" ht="15.75" customHeight="1" x14ac:dyDescent="0.2">
      <c r="A35" s="121">
        <v>15</v>
      </c>
      <c r="B35" s="122">
        <f>INGRESO!B55</f>
        <v>0</v>
      </c>
      <c r="C35" s="123" t="e">
        <v>#REF!</v>
      </c>
      <c r="D35" s="123">
        <f>INGRESO!E55</f>
        <v>0</v>
      </c>
      <c r="E35" s="124" t="e">
        <v>#REF!</v>
      </c>
      <c r="F35" s="125" t="e">
        <v>#REF!</v>
      </c>
      <c r="G35" s="213"/>
      <c r="H35" s="146"/>
      <c r="I35" s="213" t="str">
        <f>INGRESO!I55</f>
        <v/>
      </c>
      <c r="J35" s="146"/>
    </row>
    <row r="36" spans="1:10" ht="15.75" customHeight="1" x14ac:dyDescent="0.2">
      <c r="A36" s="121">
        <v>16</v>
      </c>
      <c r="B36" s="122">
        <f>INGRESO!B59</f>
        <v>0</v>
      </c>
      <c r="C36" s="123" t="e">
        <v>#REF!</v>
      </c>
      <c r="D36" s="123">
        <f>INGRESO!E59</f>
        <v>0</v>
      </c>
      <c r="E36" s="124" t="e">
        <v>#REF!</v>
      </c>
      <c r="F36" s="125" t="e">
        <v>#REF!</v>
      </c>
      <c r="G36" s="213"/>
      <c r="H36" s="146"/>
      <c r="I36" s="213" t="str">
        <f>INGRESO!I59</f>
        <v/>
      </c>
      <c r="J36" s="146"/>
    </row>
    <row r="37" spans="1:10" ht="15.75" customHeight="1" x14ac:dyDescent="0.2">
      <c r="A37" s="121">
        <v>17</v>
      </c>
      <c r="B37" s="122">
        <f>INGRESO!B60</f>
        <v>0</v>
      </c>
      <c r="C37" s="123" t="e">
        <v>#REF!</v>
      </c>
      <c r="D37" s="123">
        <f>INGRESO!E60</f>
        <v>0</v>
      </c>
      <c r="E37" s="124" t="e">
        <v>#REF!</v>
      </c>
      <c r="F37" s="125" t="e">
        <v>#REF!</v>
      </c>
      <c r="G37" s="213"/>
      <c r="H37" s="146"/>
      <c r="I37" s="213" t="str">
        <f>INGRESO!I60</f>
        <v/>
      </c>
      <c r="J37" s="146"/>
    </row>
    <row r="38" spans="1:10" ht="15.75" customHeight="1" x14ac:dyDescent="0.2">
      <c r="A38" s="121">
        <v>18</v>
      </c>
      <c r="B38" s="122">
        <f>INGRESO!B61</f>
        <v>0</v>
      </c>
      <c r="C38" s="123" t="e">
        <v>#REF!</v>
      </c>
      <c r="D38" s="123">
        <f>INGRESO!E61</f>
        <v>0</v>
      </c>
      <c r="E38" s="124" t="e">
        <v>#REF!</v>
      </c>
      <c r="F38" s="125" t="e">
        <v>#REF!</v>
      </c>
      <c r="G38" s="213"/>
      <c r="H38" s="146"/>
      <c r="I38" s="213" t="str">
        <f>INGRESO!I61</f>
        <v/>
      </c>
      <c r="J38" s="146"/>
    </row>
    <row r="39" spans="1:10" ht="15.75" customHeight="1" x14ac:dyDescent="0.2">
      <c r="A39" s="121">
        <v>19</v>
      </c>
      <c r="B39" s="122">
        <f>INGRESO!B56</f>
        <v>0</v>
      </c>
      <c r="C39" s="123" t="e">
        <v>#REF!</v>
      </c>
      <c r="D39" s="123">
        <f>INGRESO!E56</f>
        <v>0</v>
      </c>
      <c r="E39" s="124" t="e">
        <v>#REF!</v>
      </c>
      <c r="F39" s="125" t="e">
        <v>#REF!</v>
      </c>
      <c r="G39" s="213"/>
      <c r="H39" s="146"/>
      <c r="I39" s="213" t="str">
        <f>INGRESO!I56</f>
        <v/>
      </c>
      <c r="J39" s="146"/>
    </row>
    <row r="40" spans="1:10" ht="15.75" customHeight="1" x14ac:dyDescent="0.2">
      <c r="A40" s="121">
        <v>20</v>
      </c>
      <c r="B40" s="122">
        <f>INGRESO!B57</f>
        <v>0</v>
      </c>
      <c r="C40" s="123" t="e">
        <v>#REF!</v>
      </c>
      <c r="D40" s="123">
        <f>INGRESO!E57</f>
        <v>0</v>
      </c>
      <c r="E40" s="124" t="e">
        <v>#REF!</v>
      </c>
      <c r="F40" s="125" t="e">
        <v>#REF!</v>
      </c>
      <c r="G40" s="213"/>
      <c r="H40" s="146"/>
      <c r="I40" s="213" t="str">
        <f>INGRESO!I57</f>
        <v/>
      </c>
      <c r="J40" s="146"/>
    </row>
    <row r="41" spans="1:10" ht="15.75" customHeight="1" x14ac:dyDescent="0.2">
      <c r="A41" s="121">
        <v>21</v>
      </c>
      <c r="B41" s="122" t="e">
        <f t="shared" ref="B41:B44" si="0">#REF!</f>
        <v>#REF!</v>
      </c>
      <c r="C41" s="123" t="e">
        <v>#REF!</v>
      </c>
      <c r="D41" s="123" t="e">
        <f t="shared" ref="D41:D44" si="1">#REF!</f>
        <v>#REF!</v>
      </c>
      <c r="E41" s="124" t="e">
        <v>#REF!</v>
      </c>
      <c r="F41" s="125" t="e">
        <v>#REF!</v>
      </c>
      <c r="G41" s="213"/>
      <c r="H41" s="146"/>
      <c r="I41" s="213" t="e">
        <f t="shared" ref="I41:I44" si="2">#REF!</f>
        <v>#REF!</v>
      </c>
      <c r="J41" s="146"/>
    </row>
    <row r="42" spans="1:10" ht="15.75" customHeight="1" x14ac:dyDescent="0.2">
      <c r="A42" s="121">
        <v>22</v>
      </c>
      <c r="B42" s="122" t="e">
        <f t="shared" si="0"/>
        <v>#REF!</v>
      </c>
      <c r="C42" s="123" t="e">
        <v>#REF!</v>
      </c>
      <c r="D42" s="123" t="e">
        <f t="shared" si="1"/>
        <v>#REF!</v>
      </c>
      <c r="E42" s="124" t="e">
        <v>#REF!</v>
      </c>
      <c r="F42" s="125" t="e">
        <v>#REF!</v>
      </c>
      <c r="G42" s="213"/>
      <c r="H42" s="146"/>
      <c r="I42" s="213" t="e">
        <f t="shared" si="2"/>
        <v>#REF!</v>
      </c>
      <c r="J42" s="146"/>
    </row>
    <row r="43" spans="1:10" ht="15.75" customHeight="1" x14ac:dyDescent="0.2">
      <c r="A43" s="121">
        <v>23</v>
      </c>
      <c r="B43" s="122" t="e">
        <f t="shared" si="0"/>
        <v>#REF!</v>
      </c>
      <c r="C43" s="123" t="e">
        <v>#REF!</v>
      </c>
      <c r="D43" s="123" t="e">
        <f t="shared" si="1"/>
        <v>#REF!</v>
      </c>
      <c r="E43" s="124" t="e">
        <v>#REF!</v>
      </c>
      <c r="F43" s="125" t="e">
        <v>#REF!</v>
      </c>
      <c r="G43" s="213"/>
      <c r="H43" s="146"/>
      <c r="I43" s="213" t="e">
        <f t="shared" si="2"/>
        <v>#REF!</v>
      </c>
      <c r="J43" s="146"/>
    </row>
    <row r="44" spans="1:10" ht="15.75" customHeight="1" x14ac:dyDescent="0.2">
      <c r="A44" s="121">
        <v>24</v>
      </c>
      <c r="B44" s="122" t="e">
        <f t="shared" si="0"/>
        <v>#REF!</v>
      </c>
      <c r="C44" s="123" t="e">
        <v>#REF!</v>
      </c>
      <c r="D44" s="123" t="e">
        <f t="shared" si="1"/>
        <v>#REF!</v>
      </c>
      <c r="E44" s="124" t="e">
        <v>#REF!</v>
      </c>
      <c r="F44" s="125" t="e">
        <v>#REF!</v>
      </c>
      <c r="G44" s="213"/>
      <c r="H44" s="146"/>
      <c r="I44" s="213" t="e">
        <f t="shared" si="2"/>
        <v>#REF!</v>
      </c>
      <c r="J44" s="146"/>
    </row>
    <row r="45" spans="1:10" ht="15.75" customHeight="1" x14ac:dyDescent="0.2">
      <c r="A45" s="121">
        <v>25</v>
      </c>
      <c r="B45" s="122">
        <f>INGRESO!B62</f>
        <v>0</v>
      </c>
      <c r="C45" s="123" t="e">
        <v>#REF!</v>
      </c>
      <c r="D45" s="123">
        <f>INGRESO!E62</f>
        <v>0</v>
      </c>
      <c r="E45" s="124" t="e">
        <v>#REF!</v>
      </c>
      <c r="F45" s="125" t="e">
        <v>#REF!</v>
      </c>
      <c r="G45" s="213"/>
      <c r="H45" s="146"/>
      <c r="I45" s="213" t="str">
        <f>INGRESO!I62</f>
        <v/>
      </c>
      <c r="J45" s="146"/>
    </row>
    <row r="46" spans="1:10" ht="9" customHeight="1" x14ac:dyDescent="0.2">
      <c r="A46" s="115"/>
      <c r="B46" s="115"/>
      <c r="C46" s="115"/>
      <c r="D46" s="115"/>
      <c r="E46" s="115"/>
      <c r="F46" s="115"/>
      <c r="G46" s="115"/>
      <c r="H46" s="115"/>
      <c r="I46" s="115"/>
      <c r="J46" s="115"/>
    </row>
    <row r="47" spans="1:10" ht="12.75" customHeight="1" x14ac:dyDescent="0.2">
      <c r="A47" s="221" t="s">
        <v>191</v>
      </c>
      <c r="B47" s="143"/>
      <c r="C47" s="143"/>
      <c r="D47" s="143"/>
      <c r="E47" s="143"/>
      <c r="F47" s="143"/>
      <c r="G47" s="143"/>
      <c r="H47" s="143"/>
      <c r="I47" s="143"/>
      <c r="J47" s="143"/>
    </row>
    <row r="48" spans="1:10" ht="9" customHeight="1" x14ac:dyDescent="0.2">
      <c r="A48" s="115"/>
      <c r="B48" s="115"/>
      <c r="C48" s="115"/>
      <c r="D48" s="115"/>
      <c r="E48" s="115"/>
      <c r="F48" s="115"/>
      <c r="G48" s="115"/>
      <c r="H48" s="115"/>
      <c r="I48" s="115"/>
      <c r="J48" s="115"/>
    </row>
    <row r="49" spans="1:10" ht="12.75" customHeight="1" x14ac:dyDescent="0.2">
      <c r="A49" s="227" t="s">
        <v>192</v>
      </c>
      <c r="B49" s="148"/>
      <c r="C49" s="210" t="str">
        <f>INGRESO!B6</f>
        <v>Ismael Jahir Cruz Topanda</v>
      </c>
      <c r="D49" s="148"/>
      <c r="E49" s="148"/>
      <c r="F49" s="148"/>
      <c r="G49" s="148"/>
      <c r="H49" s="148"/>
      <c r="I49" s="148"/>
      <c r="J49" s="140"/>
    </row>
    <row r="50" spans="1:10" ht="13.5" customHeight="1" x14ac:dyDescent="0.2">
      <c r="A50" s="227" t="s">
        <v>193</v>
      </c>
      <c r="B50" s="148"/>
      <c r="C50" s="210">
        <f>INGRESO!B16</f>
        <v>0</v>
      </c>
      <c r="D50" s="148"/>
      <c r="E50" s="148"/>
      <c r="F50" s="148"/>
      <c r="G50" s="148"/>
      <c r="H50" s="148"/>
      <c r="I50" s="148"/>
      <c r="J50" s="140"/>
    </row>
    <row r="51" spans="1:10" ht="12.75" customHeight="1" x14ac:dyDescent="0.2">
      <c r="A51" s="227" t="s">
        <v>194</v>
      </c>
      <c r="B51" s="148"/>
      <c r="C51" s="210" t="str">
        <f>INGRESO!B19</f>
        <v>Cliente solicita retirar hoy mismo su chip en la agencia, centro comercial aeropuerto.</v>
      </c>
      <c r="D51" s="148"/>
      <c r="E51" s="148"/>
      <c r="F51" s="148"/>
      <c r="G51" s="148"/>
      <c r="H51" s="148"/>
      <c r="I51" s="148"/>
      <c r="J51" s="140"/>
    </row>
    <row r="52" spans="1:10" ht="10.5" customHeight="1" x14ac:dyDescent="0.2">
      <c r="A52" s="115"/>
      <c r="B52" s="115"/>
      <c r="C52" s="115"/>
      <c r="D52" s="115"/>
      <c r="E52" s="115"/>
      <c r="F52" s="115"/>
      <c r="G52" s="115"/>
      <c r="H52" s="115"/>
      <c r="I52" s="115"/>
      <c r="J52" s="115"/>
    </row>
    <row r="53" spans="1:10" ht="12.75" customHeight="1" x14ac:dyDescent="0.2">
      <c r="A53" s="221" t="s">
        <v>195</v>
      </c>
      <c r="B53" s="143"/>
      <c r="C53" s="143"/>
      <c r="D53" s="143"/>
      <c r="E53" s="143"/>
      <c r="F53" s="143"/>
      <c r="G53" s="143"/>
      <c r="H53" s="143"/>
      <c r="I53" s="143"/>
      <c r="J53" s="143"/>
    </row>
    <row r="54" spans="1:10" ht="12" customHeight="1" x14ac:dyDescent="0.2">
      <c r="A54" s="221" t="s">
        <v>196</v>
      </c>
      <c r="B54" s="143"/>
      <c r="C54" s="143"/>
      <c r="D54" s="221" t="s">
        <v>197</v>
      </c>
      <c r="E54" s="143"/>
      <c r="F54" s="143"/>
      <c r="G54" s="143"/>
      <c r="H54" s="143"/>
      <c r="I54" s="143"/>
      <c r="J54" s="115"/>
    </row>
    <row r="55" spans="1:10" ht="12" customHeight="1" x14ac:dyDescent="0.2">
      <c r="A55" s="221" t="s">
        <v>198</v>
      </c>
      <c r="B55" s="143"/>
      <c r="C55" s="143"/>
      <c r="D55" s="143"/>
      <c r="E55" s="143"/>
      <c r="F55" s="143"/>
      <c r="G55" s="143"/>
      <c r="H55" s="143"/>
      <c r="I55" s="143"/>
      <c r="J55" s="143"/>
    </row>
    <row r="56" spans="1:10" ht="14.25" customHeight="1" x14ac:dyDescent="0.2">
      <c r="A56" s="221" t="s">
        <v>199</v>
      </c>
      <c r="B56" s="143"/>
      <c r="C56" s="143"/>
      <c r="D56" s="115"/>
      <c r="E56" s="115"/>
      <c r="F56" s="115"/>
      <c r="G56" s="115"/>
      <c r="H56" s="115"/>
      <c r="I56" s="115"/>
      <c r="J56" s="115"/>
    </row>
    <row r="57" spans="1:10" ht="12.75" customHeight="1" x14ac:dyDescent="0.2">
      <c r="A57" s="221" t="s">
        <v>200</v>
      </c>
      <c r="B57" s="143"/>
      <c r="C57" s="143"/>
      <c r="D57" s="143"/>
      <c r="E57" s="68" t="s">
        <v>13</v>
      </c>
      <c r="F57" s="85" t="s">
        <v>201</v>
      </c>
      <c r="G57" s="223">
        <f ca="1">TODAY()</f>
        <v>46133</v>
      </c>
      <c r="H57" s="145"/>
      <c r="I57" s="145"/>
      <c r="J57" s="145"/>
    </row>
    <row r="58" spans="1:10" ht="12.75" customHeight="1" x14ac:dyDescent="0.2">
      <c r="A58" s="115"/>
      <c r="B58" s="117"/>
      <c r="C58" s="115"/>
      <c r="D58" s="115"/>
      <c r="E58" s="115"/>
      <c r="F58" s="115"/>
      <c r="G58" s="115"/>
      <c r="H58" s="115"/>
      <c r="I58" s="115"/>
      <c r="J58" s="115"/>
    </row>
    <row r="59" spans="1:10" ht="15.75" customHeight="1" x14ac:dyDescent="0.2">
      <c r="A59" s="115"/>
      <c r="B59" s="115"/>
      <c r="C59" s="115"/>
      <c r="D59" s="115"/>
      <c r="E59" s="115"/>
      <c r="F59" s="115"/>
      <c r="G59" s="115"/>
      <c r="H59" s="115"/>
      <c r="I59" s="115"/>
      <c r="J59" s="115"/>
    </row>
    <row r="60" spans="1:10" ht="15.75" customHeight="1" x14ac:dyDescent="0.2">
      <c r="A60" s="115"/>
      <c r="B60" s="115"/>
      <c r="C60" s="115"/>
      <c r="D60" s="115"/>
      <c r="E60" s="115"/>
      <c r="F60" s="115"/>
      <c r="G60" s="115"/>
      <c r="H60" s="115"/>
      <c r="I60" s="115"/>
      <c r="J60" s="115"/>
    </row>
    <row r="61" spans="1:10" ht="15.75" customHeight="1" x14ac:dyDescent="0.2">
      <c r="A61" s="115"/>
      <c r="B61" s="213"/>
      <c r="C61" s="145"/>
      <c r="D61" s="145"/>
      <c r="E61" s="115"/>
      <c r="F61" s="213"/>
      <c r="G61" s="145"/>
      <c r="H61" s="145"/>
      <c r="I61" s="145"/>
      <c r="J61" s="145"/>
    </row>
    <row r="62" spans="1:10" ht="15.75" customHeight="1" x14ac:dyDescent="0.2">
      <c r="A62" s="222" t="s">
        <v>202</v>
      </c>
      <c r="B62" s="143"/>
      <c r="C62" s="143"/>
      <c r="D62" s="143"/>
      <c r="E62" s="115"/>
      <c r="F62" s="115"/>
      <c r="G62" s="221" t="s">
        <v>203</v>
      </c>
      <c r="H62" s="143"/>
      <c r="I62" s="143"/>
      <c r="J62" s="115"/>
    </row>
    <row r="63" spans="1:10" ht="15.75" customHeight="1" x14ac:dyDescent="0.2"/>
    <row r="64" spans="1:1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6">
    <mergeCell ref="G30:H30"/>
    <mergeCell ref="G31:H31"/>
    <mergeCell ref="G32:H32"/>
    <mergeCell ref="G33:H33"/>
    <mergeCell ref="G34:H34"/>
    <mergeCell ref="G36:H36"/>
    <mergeCell ref="G44:H44"/>
    <mergeCell ref="G45:H45"/>
    <mergeCell ref="G37:H37"/>
    <mergeCell ref="G38:H38"/>
    <mergeCell ref="G39:H39"/>
    <mergeCell ref="G40:H40"/>
    <mergeCell ref="G41:H41"/>
    <mergeCell ref="G42:H42"/>
    <mergeCell ref="G43:H43"/>
    <mergeCell ref="I32:J32"/>
    <mergeCell ref="I33:J33"/>
    <mergeCell ref="I34:J34"/>
    <mergeCell ref="I35:J35"/>
    <mergeCell ref="G35:H35"/>
    <mergeCell ref="G20:H20"/>
    <mergeCell ref="I20:J20"/>
    <mergeCell ref="A51:B51"/>
    <mergeCell ref="C51:J51"/>
    <mergeCell ref="A53:J53"/>
    <mergeCell ref="A47:J47"/>
    <mergeCell ref="A49:B49"/>
    <mergeCell ref="C49:J49"/>
    <mergeCell ref="A50:B50"/>
    <mergeCell ref="C50:J50"/>
    <mergeCell ref="I41:J41"/>
    <mergeCell ref="I42:J42"/>
    <mergeCell ref="I43:J43"/>
    <mergeCell ref="I44:J44"/>
    <mergeCell ref="I45:J45"/>
    <mergeCell ref="I36:J36"/>
    <mergeCell ref="A14:F14"/>
    <mergeCell ref="A16:J16"/>
    <mergeCell ref="A17:F17"/>
    <mergeCell ref="G17:I17"/>
    <mergeCell ref="A18:B18"/>
    <mergeCell ref="C18:D18"/>
    <mergeCell ref="A11:B11"/>
    <mergeCell ref="A12:B12"/>
    <mergeCell ref="C11:E11"/>
    <mergeCell ref="G11:J11"/>
    <mergeCell ref="A13:J13"/>
    <mergeCell ref="A5:B5"/>
    <mergeCell ref="A6:B6"/>
    <mergeCell ref="A8:J8"/>
    <mergeCell ref="A9:J9"/>
    <mergeCell ref="A10:J10"/>
    <mergeCell ref="G21:H21"/>
    <mergeCell ref="I21:J21"/>
    <mergeCell ref="G22:H22"/>
    <mergeCell ref="I22:J22"/>
    <mergeCell ref="I23:J23"/>
    <mergeCell ref="G23:H23"/>
    <mergeCell ref="G29:H29"/>
    <mergeCell ref="I24:J24"/>
    <mergeCell ref="I25:J25"/>
    <mergeCell ref="I26:J26"/>
    <mergeCell ref="I27:J27"/>
    <mergeCell ref="I28:J28"/>
    <mergeCell ref="I29:J29"/>
    <mergeCell ref="G24:H24"/>
    <mergeCell ref="G25:H25"/>
    <mergeCell ref="G26:H26"/>
    <mergeCell ref="G27:H27"/>
    <mergeCell ref="G28:H28"/>
    <mergeCell ref="I30:J30"/>
    <mergeCell ref="A57:D57"/>
    <mergeCell ref="B61:D61"/>
    <mergeCell ref="F61:J61"/>
    <mergeCell ref="A62:D62"/>
    <mergeCell ref="G62:I62"/>
    <mergeCell ref="A55:J55"/>
    <mergeCell ref="A56:C56"/>
    <mergeCell ref="G57:J57"/>
    <mergeCell ref="A54:C54"/>
    <mergeCell ref="D54:I54"/>
    <mergeCell ref="I37:J37"/>
    <mergeCell ref="I38:J38"/>
    <mergeCell ref="I39:J39"/>
    <mergeCell ref="I40:J40"/>
    <mergeCell ref="I31:J31"/>
  </mergeCells>
  <printOptions horizontalCentered="1" gridLines="1"/>
  <pageMargins left="0.28336931673863353" right="0.26670053340106686" top="0.15001905003810012" bottom="0.26670053340106686"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INGRESO</vt:lpstr>
      <vt:lpstr>SP JURIDICA</vt:lpstr>
      <vt:lpstr>SP NATURAL</vt:lpstr>
      <vt:lpstr>GESTOR JUR</vt:lpstr>
      <vt:lpstr>GESTOR NATU</vt:lpstr>
      <vt:lpstr>entrega recepcion</vt:lpstr>
      <vt:lpstr>Detalle</vt:lpstr>
      <vt:lpstr>ANEXO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FERNANDO LUCERO OSORIO</cp:lastModifiedBy>
  <cp:lastPrinted>2025-11-20T17:45:15Z</cp:lastPrinted>
  <dcterms:created xsi:type="dcterms:W3CDTF">2025-01-29T23:32:44Z</dcterms:created>
  <dcterms:modified xsi:type="dcterms:W3CDTF">2026-04-21T22:19:32Z</dcterms:modified>
</cp:coreProperties>
</file>